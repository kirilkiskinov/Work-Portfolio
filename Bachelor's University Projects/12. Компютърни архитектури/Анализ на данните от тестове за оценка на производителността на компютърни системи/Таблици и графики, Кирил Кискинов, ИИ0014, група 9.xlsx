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esktop\Университет\Компютърни архитектури\Анализ на данните от тестове за оценка на производителността на компютърни системи\"/>
    </mc:Choice>
  </mc:AlternateContent>
  <xr:revisionPtr revIDLastSave="0" documentId="13_ncr:1_{05D71A91-D50F-4DD0-B496-4520A88DDD6E}" xr6:coauthVersionLast="46" xr6:coauthVersionMax="46" xr10:uidLastSave="{00000000-0000-0000-0000-000000000000}"/>
  <bookViews>
    <workbookView xWindow="-120" yWindow="-120" windowWidth="29040" windowHeight="15840" activeTab="1" xr2:uid="{06808C1E-653C-45AC-802D-260E19ADD21B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" l="1"/>
  <c r="J8" i="4"/>
  <c r="I8" i="4"/>
  <c r="J14" i="4"/>
  <c r="K14" i="4"/>
  <c r="L14" i="4"/>
  <c r="M14" i="4"/>
  <c r="K3" i="4" s="1"/>
  <c r="H9" i="4"/>
  <c r="I4" i="4"/>
  <c r="J4" i="4"/>
  <c r="K4" i="4"/>
  <c r="G13" i="4"/>
  <c r="G12" i="4"/>
  <c r="J21" i="1"/>
  <c r="J22" i="1"/>
  <c r="J23" i="1"/>
  <c r="J24" i="1"/>
  <c r="J25" i="1"/>
  <c r="J26" i="1"/>
  <c r="J27" i="1"/>
  <c r="J20" i="1"/>
  <c r="I21" i="1"/>
  <c r="I22" i="1"/>
  <c r="I23" i="1"/>
  <c r="I24" i="1"/>
  <c r="I25" i="1"/>
  <c r="I26" i="1"/>
  <c r="I27" i="1"/>
  <c r="I20" i="1"/>
  <c r="H21" i="1"/>
  <c r="H22" i="1"/>
  <c r="H23" i="1"/>
  <c r="H24" i="1"/>
  <c r="H25" i="1"/>
  <c r="H26" i="1"/>
  <c r="H27" i="1"/>
  <c r="H20" i="1"/>
  <c r="G21" i="1"/>
  <c r="G22" i="1"/>
  <c r="G23" i="1"/>
  <c r="G24" i="1"/>
  <c r="G25" i="1"/>
  <c r="G26" i="1"/>
  <c r="G27" i="1"/>
  <c r="G20" i="1"/>
  <c r="F21" i="1"/>
  <c r="F22" i="1"/>
  <c r="F23" i="1"/>
  <c r="F24" i="1"/>
  <c r="F25" i="1"/>
  <c r="F26" i="1"/>
  <c r="F27" i="1"/>
  <c r="F20" i="1"/>
  <c r="E21" i="1"/>
  <c r="E22" i="1"/>
  <c r="E23" i="1"/>
  <c r="E24" i="1"/>
  <c r="E25" i="1"/>
  <c r="E26" i="1"/>
  <c r="E27" i="1"/>
  <c r="E20" i="1"/>
  <c r="D21" i="1"/>
  <c r="D22" i="1"/>
  <c r="D23" i="1"/>
  <c r="D24" i="1"/>
  <c r="D25" i="1"/>
  <c r="D26" i="1"/>
  <c r="D27" i="1"/>
  <c r="D20" i="1"/>
  <c r="C21" i="1"/>
  <c r="C22" i="1"/>
  <c r="C23" i="1"/>
  <c r="C24" i="1"/>
  <c r="C25" i="1"/>
  <c r="C26" i="1"/>
  <c r="C27" i="1"/>
  <c r="C20" i="1"/>
  <c r="J3" i="4"/>
  <c r="I3" i="4"/>
  <c r="H8" i="4"/>
  <c r="F8" i="4"/>
  <c r="E8" i="4"/>
  <c r="D8" i="4"/>
</calcChain>
</file>

<file path=xl/sharedStrings.xml><?xml version="1.0" encoding="utf-8"?>
<sst xmlns="http://schemas.openxmlformats.org/spreadsheetml/2006/main" count="175" uniqueCount="75">
  <si>
    <t>Memory read,  MB/s</t>
  </si>
  <si>
    <t>Test</t>
  </si>
  <si>
    <t>MDC HP EliteDesk</t>
  </si>
  <si>
    <t>WS нисък клас</t>
  </si>
  <si>
    <t>WS среден клас</t>
  </si>
  <si>
    <t>Memory write, MB/s</t>
  </si>
  <si>
    <t>Memory copy, MB/s</t>
  </si>
  <si>
    <t>Single-Precision FLOPS, GFLOPS</t>
  </si>
  <si>
    <t>Double-Precision FLOPS, GFLOPS</t>
  </si>
  <si>
    <t>24-bit Integer IOPS, GIOPS</t>
  </si>
  <si>
    <t>32-bit Integer IOPS, GIOPS</t>
  </si>
  <si>
    <t>64-bit Integer IOPS, GIOPS</t>
  </si>
  <si>
    <t>AES-256, MB/s</t>
  </si>
  <si>
    <t>SHA-1 Hash, MB/s</t>
  </si>
  <si>
    <t>Single-Precision Julia, FPS</t>
  </si>
  <si>
    <t>3500 MHz, 4 cores, 4 threads</t>
  </si>
  <si>
    <t>1150 MHz, 80 cores, 20 CUs, Driver 20.19.15.5126</t>
  </si>
  <si>
    <t>Double-Precision Mandel, FPS</t>
  </si>
  <si>
    <t>CPU: Intel Core i5-4570 (Haswell-DT)</t>
  </si>
  <si>
    <t>GPU: Intel(R) HD Graphics 4600(HSW-DT GT2)</t>
  </si>
  <si>
    <t>1046 MHz, 48 cores, 1 CU, Driver 388.13</t>
  </si>
  <si>
    <t>MDC AMD Desktop</t>
  </si>
  <si>
    <t>CPU: AMD A4-4000 (Richland)</t>
  </si>
  <si>
    <t>GPU: nVIDIA GeForce 605 (GF119)</t>
  </si>
  <si>
    <t>3228 MHz, 2 cores, 2 threads</t>
  </si>
  <si>
    <t>1835 MHz, 1152 cores, 9 CUs, Driver 461.40</t>
  </si>
  <si>
    <t>CPU: Intel Core i5-6500(Skylake-S)</t>
  </si>
  <si>
    <t>3400 MHz, 4 cores, 4 threads</t>
  </si>
  <si>
    <t>1442 MHz, 768 cores, 6 Cus, Driver 456.71</t>
  </si>
  <si>
    <t>3700 MHz, 4 cores, 8 threads</t>
  </si>
  <si>
    <t>GPU: nVIDIA GeForce GTX 1050 Ti(GP 107)</t>
  </si>
  <si>
    <t>GPU: nVidia GeForce GTX 1060 3GB (GP106)</t>
  </si>
  <si>
    <t>2700 MHz, 24 cores, 48 threads</t>
  </si>
  <si>
    <t>GPU: No</t>
  </si>
  <si>
    <t>CPU: 2x Intel Xeon ES-2676 v3 (Haswell-EP)</t>
  </si>
  <si>
    <t>MC Lenovo Yoga</t>
  </si>
  <si>
    <t>3000 MHz, 2 cores, 4 threads</t>
  </si>
  <si>
    <t>MC Lenovo Thinkpad Yoga 12</t>
  </si>
  <si>
    <t>950 MHz, 96 cores, 24 CUs, Driver 20.19.15.4531</t>
  </si>
  <si>
    <t>2400 MHz, 2 cores, 4 threads</t>
  </si>
  <si>
    <t>GPU1: GeForce 940M 1176 MHz, 384 cores, 3 CUs, Driver 376.54</t>
  </si>
  <si>
    <t>GPU2: Intel® HD Graphics 520 1050 MHz, 96 cores, 24 Cus, Driver 20.19.15.4364</t>
  </si>
  <si>
    <t>GPU: Intel® HD Graphics 5500</t>
  </si>
  <si>
    <t>CPU: Intel Core i7-5500U (Broadwell-U)</t>
  </si>
  <si>
    <t>CPU: Intel Xeon ES-1602 (Sandy Bridge-EP)</t>
  </si>
  <si>
    <t>CPU: Intel Core i7-6500U (Skylake-U)</t>
  </si>
  <si>
    <t>MC Lenovo Thinkpad Yoga X1</t>
  </si>
  <si>
    <t>1150 MHz, 96 cores, 24 CUs, Driver 26.20.100.7812</t>
  </si>
  <si>
    <t>3900 MHz, 2 cores, 4 threads</t>
  </si>
  <si>
    <t>GPU: Intel® HD Graphics 620</t>
  </si>
  <si>
    <t>CPU: Intel Core i7-7600U (Kaby Lake-U)</t>
  </si>
  <si>
    <t>MC HP EliteBook</t>
  </si>
  <si>
    <t>1100 MHz, 80 cores, 20 CUs, Driver 20.19.15.5126</t>
  </si>
  <si>
    <t>2600 MHz, 2 cores, 4 threads</t>
  </si>
  <si>
    <t>CPU: Intel Core i7-4600U (Haswell-ULT)</t>
  </si>
  <si>
    <t>GPU: Intel® HD Graphics 4400 (HSW-ULT GT2)</t>
  </si>
  <si>
    <t>MDC Custom Build Gaming PC</t>
  </si>
  <si>
    <t>Intel(R) HD Graphics 4600(HSW-DT GT2), 1150 MHz, 80 cores, 20 CUs, Driver 20.19.15.5126</t>
  </si>
  <si>
    <t>nVIDIA GeForce 605 (GF119), 1046 MHz, 48 cores, 1 CU, Driver 388.13</t>
  </si>
  <si>
    <t>nVidia GeForce GTX 1060 3GB (GP106), 1835 MHz, 1152 cores, 9 CUs, Driver 461.40</t>
  </si>
  <si>
    <t>nVIDIA GeForce GTX 1050 Ti(GP 107), 1442 MHz, 768 cores, 6 Cus, Driver 456.71</t>
  </si>
  <si>
    <t>Intel® HD Graphics 620, 1150 MHz, 96 cores, 24 CUs, Driver 26.20.100.7812</t>
  </si>
  <si>
    <t>Intel® HD Graphics 5500, 950 MHz, 96 cores, 24 CUs, Driver 20.19.15.4531</t>
  </si>
  <si>
    <t>Intel® HD Graphics 4400 (HSW-ULT GT2), 1100 MHz, 80 cores, 20 CUs, Driver 20.19.15.5126</t>
  </si>
  <si>
    <t>GPU1: GeForce 940M 1176 MHz, 384 cores, 3 CUs, Driver 376.54       GPU2: Intel® HD Graphics 520 1050 MHz, 96 cores, 24 CUs, Driver 20.19.15.4364</t>
  </si>
  <si>
    <t>Intel Core i7-6500U (Skylake-U), 3000 MHz, 2 cores, 4 threads</t>
  </si>
  <si>
    <t>Intel Core i7-7600U (Kaby Lake-U), 3900 MHz, 2 cores, 4 threads</t>
  </si>
  <si>
    <t>Intel Core i7-5500U (Broadwell-U), 2400 MHz, 2 cores, 4 threads</t>
  </si>
  <si>
    <t>Intel Core i7-4600U (Haswell-ULT), 2600 MHz, 2 cores, 4 threads</t>
  </si>
  <si>
    <t>Intel Core i5-4570 (Haswell-DT), 3500 MHz, 4 cores, 4 threads</t>
  </si>
  <si>
    <t>AMD A4-4000 (Richland), 3228 MHz, 2 cores, 2 threads</t>
  </si>
  <si>
    <t>Intel Core i5-6500(Skylake-S), 3400 MHz, 4 cores, 4 threads</t>
  </si>
  <si>
    <t>Intel Xeon ES-1602 (Sandy Bridge-EP), 3700 MHz, 4 cores, 8 threads</t>
  </si>
  <si>
    <t>2x Intel Xeon ES-2676 v3 (Haswell-EP), 2700 MHz, 24 cores, 48 threads</t>
  </si>
  <si>
    <t>не може да се определи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</si>
</sst>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family val="2"/>
      <charset val="204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1" xfId="0" applyFont="1" applyFill="1" applyBorder="1"/>
    <xf numFmtId="10" fontId="0" fillId="0" borderId="0" xfId="0" applyNumberFormat="1"/>
    <xf numFmtId="0" fontId="0" fillId="0" borderId="0" xfId="0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10" fontId="0" fillId="0" borderId="2" xfId="0" applyNumberFormat="1" applyBorder="1"/>
    <xf numFmtId="10" fontId="0" fillId="0" borderId="1" xfId="0" applyNumberFormat="1" applyBorder="1"/>
    <xf numFmtId="10" fontId="0" fillId="0" borderId="9" xfId="0" applyNumberFormat="1" applyBorder="1"/>
    <xf numFmtId="0" fontId="0" fillId="0" borderId="5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 sz="1400" b="0" i="0" u="none" strike="noStrike" baseline="0">
                <a:effectLst/>
              </a:rPr>
              <a:t>Класация по производителност на </a:t>
            </a:r>
            <a:r>
              <a:rPr lang="en-US" sz="1400" b="0" i="0" u="none" strike="noStrike" baseline="0">
                <a:effectLst/>
              </a:rPr>
              <a:t>CPU</a:t>
            </a:r>
            <a:r>
              <a:rPr lang="bg-BG" sz="1400" b="0" i="0" u="none" strike="noStrike" baseline="0">
                <a:effectLst/>
              </a:rPr>
              <a:t> спрямо лабораторната </a:t>
            </a:r>
            <a:r>
              <a:rPr lang="en-US" sz="1400" b="0" i="0" u="none" strike="noStrike" baseline="0">
                <a:effectLst/>
              </a:rPr>
              <a:t>MDC </a:t>
            </a:r>
            <a:r>
              <a:rPr lang="bg-BG" sz="1400" b="0" i="0" u="none" strike="noStrike" baseline="0">
                <a:effectLst/>
              </a:rPr>
              <a:t>машина</a:t>
            </a:r>
            <a:endParaRPr lang="en-US"/>
          </a:p>
        </c:rich>
      </c:tx>
      <c:layout>
        <c:manualLayout>
          <c:xMode val="edge"/>
          <c:yMode val="edge"/>
          <c:x val="0.14076022583269354"/>
          <c:y val="1.9102991698972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Sheet1!$V$3</c:f>
              <c:strCache>
                <c:ptCount val="1"/>
                <c:pt idx="0">
                  <c:v>Memory read,  MB/s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Sheet1!$W$3:$AD$3</c:f>
              <c:numCache>
                <c:formatCode>0.00%</c:formatCode>
                <c:ptCount val="8"/>
                <c:pt idx="0">
                  <c:v>-0.20687683763475989</c:v>
                </c:pt>
                <c:pt idx="1">
                  <c:v>1.4139170205815093</c:v>
                </c:pt>
                <c:pt idx="2">
                  <c:v>0.97492649460960468</c:v>
                </c:pt>
                <c:pt idx="3">
                  <c:v>4.2809539366220193</c:v>
                </c:pt>
                <c:pt idx="4">
                  <c:v>3.7569421757595559E-3</c:v>
                </c:pt>
                <c:pt idx="5">
                  <c:v>1.1467657628226069</c:v>
                </c:pt>
                <c:pt idx="6">
                  <c:v>0.7293368180333224</c:v>
                </c:pt>
                <c:pt idx="7">
                  <c:v>0.7063868016987912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2-4306-A011-477C4B38955F}"/>
            </c:ext>
          </c:extLst>
        </c:ser>
        <c:ser>
          <c:idx val="1"/>
          <c:order val="1"/>
          <c:tx>
            <c:strRef>
              <c:f>Sheet1!$V$4</c:f>
              <c:strCache>
                <c:ptCount val="1"/>
                <c:pt idx="0">
                  <c:v>Memory write, MB/s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Sheet1!$W$4:$AD$4</c:f>
              <c:numCache>
                <c:formatCode>0.00%</c:formatCode>
                <c:ptCount val="8"/>
                <c:pt idx="0">
                  <c:v>-0.42706683560342096</c:v>
                </c:pt>
                <c:pt idx="1">
                  <c:v>1.4451219512195121</c:v>
                </c:pt>
                <c:pt idx="2">
                  <c:v>0.86601203674374405</c:v>
                </c:pt>
                <c:pt idx="3">
                  <c:v>2.7789040228064619</c:v>
                </c:pt>
                <c:pt idx="4">
                  <c:v>-3.7060500475134622E-2</c:v>
                </c:pt>
                <c:pt idx="5">
                  <c:v>1.2056541019955653</c:v>
                </c:pt>
                <c:pt idx="6">
                  <c:v>0.90719037060500474</c:v>
                </c:pt>
                <c:pt idx="7">
                  <c:v>0.91305036426987651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2-4306-A011-477C4B38955F}"/>
            </c:ext>
          </c:extLst>
        </c:ser>
        <c:ser>
          <c:idx val="2"/>
          <c:order val="2"/>
          <c:tx>
            <c:strRef>
              <c:f>Sheet1!$V$5</c:f>
              <c:strCache>
                <c:ptCount val="1"/>
                <c:pt idx="0">
                  <c:v>Memory copy, MB/s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Sheet1!$W$5:$AD$5</c:f>
              <c:numCache>
                <c:formatCode>0.00%</c:formatCode>
                <c:ptCount val="8"/>
                <c:pt idx="0">
                  <c:v>-0.32336388486895001</c:v>
                </c:pt>
                <c:pt idx="1">
                  <c:v>1.0180897250361796</c:v>
                </c:pt>
                <c:pt idx="2">
                  <c:v>0.82473066409390572</c:v>
                </c:pt>
                <c:pt idx="3">
                  <c:v>3.8829393793214342</c:v>
                </c:pt>
                <c:pt idx="4">
                  <c:v>1.0693037465830519E-2</c:v>
                </c:pt>
                <c:pt idx="5">
                  <c:v>1.0960765396365975</c:v>
                </c:pt>
                <c:pt idx="6">
                  <c:v>0.76394918797234279</c:v>
                </c:pt>
                <c:pt idx="7">
                  <c:v>0.76885351342659591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2-4306-A011-477C4B38955F}"/>
            </c:ext>
          </c:extLst>
        </c:ser>
        <c:ser>
          <c:idx val="3"/>
          <c:order val="3"/>
          <c:tx>
            <c:strRef>
              <c:f>Sheet1!$V$6</c:f>
              <c:strCache>
                <c:ptCount val="1"/>
                <c:pt idx="0">
                  <c:v>Single-Precision FLOPS, GFLOPS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Sheet1!$W$6:$AD$6</c:f>
              <c:numCache>
                <c:formatCode>0.00%</c:formatCode>
                <c:ptCount val="8"/>
                <c:pt idx="0">
                  <c:v>-0.87498776309349002</c:v>
                </c:pt>
                <c:pt idx="1">
                  <c:v>1.5173764072442458E-2</c:v>
                </c:pt>
                <c:pt idx="2">
                  <c:v>-0.42853646598139994</c:v>
                </c:pt>
                <c:pt idx="3">
                  <c:v>4.0097895252080278</c:v>
                </c:pt>
                <c:pt idx="4">
                  <c:v>-0.56314243759177685</c:v>
                </c:pt>
                <c:pt idx="5">
                  <c:v>-0.45594713656387664</c:v>
                </c:pt>
                <c:pt idx="6">
                  <c:v>-0.5474791972589329</c:v>
                </c:pt>
                <c:pt idx="7">
                  <c:v>-0.53646598139990209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2-4306-A011-477C4B38955F}"/>
            </c:ext>
          </c:extLst>
        </c:ser>
        <c:ser>
          <c:idx val="4"/>
          <c:order val="4"/>
          <c:tx>
            <c:strRef>
              <c:f>Sheet1!$V$7</c:f>
              <c:strCache>
                <c:ptCount val="1"/>
                <c:pt idx="0">
                  <c:v>Double-Precision FLOPS, GFLOPS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Sheet1!$W$7:$AD$7</c:f>
              <c:numCache>
                <c:formatCode>0.00%</c:formatCode>
                <c:ptCount val="8"/>
                <c:pt idx="0">
                  <c:v>-0.87492654260528901</c:v>
                </c:pt>
                <c:pt idx="1">
                  <c:v>1.0773751224289996E-2</c:v>
                </c:pt>
                <c:pt idx="2">
                  <c:v>-0.42801175318315376</c:v>
                </c:pt>
                <c:pt idx="3">
                  <c:v>4.0097943192948087</c:v>
                </c:pt>
                <c:pt idx="4">
                  <c:v>-0.56302644466209595</c:v>
                </c:pt>
                <c:pt idx="5">
                  <c:v>-0.45641527913809987</c:v>
                </c:pt>
                <c:pt idx="6">
                  <c:v>-0.54725759059745349</c:v>
                </c:pt>
                <c:pt idx="7">
                  <c:v>-0.53834476003917731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2-4306-A011-477C4B38955F}"/>
            </c:ext>
          </c:extLst>
        </c:ser>
        <c:ser>
          <c:idx val="5"/>
          <c:order val="5"/>
          <c:tx>
            <c:strRef>
              <c:f>Sheet1!$V$8</c:f>
              <c:strCache>
                <c:ptCount val="1"/>
                <c:pt idx="0">
                  <c:v>24-bit Integer IOPS, GIOPS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Sheet1!$W$8:$AD$8</c:f>
              <c:numCache>
                <c:formatCode>0.00%</c:formatCode>
                <c:ptCount val="8"/>
                <c:pt idx="0">
                  <c:v>-0.88230414746543784</c:v>
                </c:pt>
                <c:pt idx="1">
                  <c:v>0.70967741935483875</c:v>
                </c:pt>
                <c:pt idx="2">
                  <c:v>6.9124423963133647E-2</c:v>
                </c:pt>
                <c:pt idx="3">
                  <c:v>3.7161290322580642</c:v>
                </c:pt>
                <c:pt idx="4">
                  <c:v>-0.26258064516129026</c:v>
                </c:pt>
                <c:pt idx="5">
                  <c:v>-8.2672811059907828E-2</c:v>
                </c:pt>
                <c:pt idx="6">
                  <c:v>-0.57391705069124432</c:v>
                </c:pt>
                <c:pt idx="7">
                  <c:v>-0.5592626728110599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82-4306-A011-477C4B38955F}"/>
            </c:ext>
          </c:extLst>
        </c:ser>
        <c:ser>
          <c:idx val="6"/>
          <c:order val="6"/>
          <c:tx>
            <c:strRef>
              <c:f>Sheet1!$V$9</c:f>
              <c:strCache>
                <c:ptCount val="1"/>
                <c:pt idx="0">
                  <c:v>32-bit Integer IOPS, GIOPS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Sheet1!$W$9:$AD$9</c:f>
              <c:numCache>
                <c:formatCode>0.00%</c:formatCode>
                <c:ptCount val="8"/>
                <c:pt idx="0">
                  <c:v>-0.88230414746543784</c:v>
                </c:pt>
                <c:pt idx="1">
                  <c:v>0.68663594470046085</c:v>
                </c:pt>
                <c:pt idx="2">
                  <c:v>6.9124423963133647E-2</c:v>
                </c:pt>
                <c:pt idx="3">
                  <c:v>3.7152073732718898</c:v>
                </c:pt>
                <c:pt idx="4">
                  <c:v>-0.26258064516129026</c:v>
                </c:pt>
                <c:pt idx="5">
                  <c:v>-8.294930875576037E-2</c:v>
                </c:pt>
                <c:pt idx="6">
                  <c:v>-0.57391705069124432</c:v>
                </c:pt>
                <c:pt idx="7">
                  <c:v>-0.55917050691244241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2-4306-A011-477C4B38955F}"/>
            </c:ext>
          </c:extLst>
        </c:ser>
        <c:ser>
          <c:idx val="7"/>
          <c:order val="7"/>
          <c:tx>
            <c:strRef>
              <c:f>Sheet1!$V$10</c:f>
              <c:strCache>
                <c:ptCount val="1"/>
                <c:pt idx="0">
                  <c:v>64-bit Integer IOPS, GIOPS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Sheet1!$W$2:$AD$2</c:f>
              <c:strCache>
                <c:ptCount val="8"/>
                <c:pt idx="0">
                  <c:v>MDC AMD Desktop</c:v>
                </c:pt>
                <c:pt idx="1">
                  <c:v>MDC Custom Build Gaming PC</c:v>
                </c:pt>
                <c:pt idx="2">
                  <c:v>WS нисък клас</c:v>
                </c:pt>
                <c:pt idx="3">
                  <c:v>WS среден клас</c:v>
                </c:pt>
                <c:pt idx="4">
                  <c:v>MC Lenovo Yoga</c:v>
                </c:pt>
                <c:pt idx="5">
                  <c:v>MC Lenovo Thinkpad Yoga X1</c:v>
                </c:pt>
                <c:pt idx="6">
                  <c:v>MC Lenovo Thinkpad Yoga 12</c:v>
                </c:pt>
                <c:pt idx="7">
                  <c:v>MC HP EliteBook</c:v>
                </c:pt>
              </c:strCache>
            </c:strRef>
          </c:cat>
          <c:val>
            <c:numRef>
              <c:f>Sheet1!$W$10:$AD$10</c:f>
              <c:numCache>
                <c:formatCode>0.00%</c:formatCode>
                <c:ptCount val="8"/>
                <c:pt idx="0">
                  <c:v>-0.88352377441946184</c:v>
                </c:pt>
                <c:pt idx="1">
                  <c:v>-5.1234795429413955E-2</c:v>
                </c:pt>
                <c:pt idx="2">
                  <c:v>7.1138960560265377E-2</c:v>
                </c:pt>
                <c:pt idx="3">
                  <c:v>3.7143383708072251</c:v>
                </c:pt>
                <c:pt idx="4">
                  <c:v>-0.55952819756726868</c:v>
                </c:pt>
                <c:pt idx="5">
                  <c:v>-0.42793955031330627</c:v>
                </c:pt>
                <c:pt idx="6">
                  <c:v>-0.57427202359012164</c:v>
                </c:pt>
                <c:pt idx="7">
                  <c:v>-0.55952819756726868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2-4306-A011-477C4B38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9538975"/>
        <c:axId val="1879516927"/>
        <c:axId val="0"/>
      </c:bar3DChart>
      <c:catAx>
        <c:axId val="18795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516927"/>
        <c:crosses val="autoZero"/>
        <c:auto val="1"/>
        <c:lblAlgn val="ctr"/>
        <c:lblOffset val="100"/>
        <c:noMultiLvlLbl val="0"/>
      </c:catAx>
      <c:valAx>
        <c:axId val="18795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5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 sz="1800" b="0" i="0" u="none" strike="noStrike" baseline="0">
                <a:effectLst/>
              </a:rPr>
              <a:t>Производителност според </a:t>
            </a:r>
            <a:r>
              <a:rPr lang="en-US" sz="1800" b="0" i="0" u="none" strike="noStrike" baseline="0">
                <a:effectLst/>
              </a:rPr>
              <a:t>Julia/Mandel</a:t>
            </a:r>
            <a:r>
              <a:rPr lang="bg-BG" sz="1800" b="0" i="0" u="none" strike="noStrike" baseline="0">
                <a:effectLst/>
              </a:rPr>
              <a:t> фракталите за </a:t>
            </a:r>
            <a:r>
              <a:rPr lang="en-US" sz="1800" b="0" i="0" u="none" strike="noStrike" baseline="0">
                <a:effectLst/>
              </a:rPr>
              <a:t>GPU</a:t>
            </a:r>
            <a:r>
              <a:rPr lang="bg-BG" sz="1800" b="0" i="0" u="none" strike="noStrike" baseline="0">
                <a:effectLst/>
              </a:rPr>
              <a:t>, </a:t>
            </a:r>
            <a:r>
              <a:rPr lang="en-US" sz="1800" b="0" i="0" u="none" strike="noStrike" baseline="0">
                <a:effectLst/>
              </a:rPr>
              <a:t>MDC, 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1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Sheet4!$B$5</c:f>
              <c:strCache>
                <c:ptCount val="1"/>
                <c:pt idx="0">
                  <c:v>Single-Precision Julia, FPS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Sheet4!$C$3:$G$4</c:f>
              <c:multiLvlStrCache>
                <c:ptCount val="5"/>
                <c:lvl>
                  <c:pt idx="0">
                    <c:v>Intel(R) HD Graphics 4600(HSW-DT GT2), 1150 MHz, 80 cores, 20 CUs, Driver 20.19.15.5126</c:v>
                  </c:pt>
                  <c:pt idx="1">
                    <c:v>nVIDIA GeForce 605 (GF119), 1046 MHz, 48 cores, 1 CU, Driver 388.13</c:v>
                  </c:pt>
                  <c:pt idx="2">
                    <c:v>nVidia GeForce GTX 1060 3GB (GP106), 1835 MHz, 1152 cores, 9 CUs, Driver 461.40</c:v>
                  </c:pt>
                  <c:pt idx="3">
                    <c:v>nVIDIA GeForce GTX 1050 Ti(GP 107), 1442 MHz, 768 cores, 6 Cus, Driver 456.71</c:v>
                  </c:pt>
                  <c:pt idx="4">
                    <c:v>GPU: No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Sheet4!$C$5:$G$5</c:f>
              <c:numCache>
                <c:formatCode>General</c:formatCode>
                <c:ptCount val="5"/>
                <c:pt idx="0">
                  <c:v>79.77</c:v>
                </c:pt>
                <c:pt idx="1">
                  <c:v>19.399999999999999</c:v>
                </c:pt>
                <c:pt idx="2">
                  <c:v>877.4</c:v>
                </c:pt>
                <c:pt idx="3">
                  <c:v>519.5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A-4BA2-8150-68F33355BAAB}"/>
            </c:ext>
          </c:extLst>
        </c:ser>
        <c:ser>
          <c:idx val="1"/>
          <c:order val="1"/>
          <c:tx>
            <c:strRef>
              <c:f>Sheet4!$B$6</c:f>
              <c:strCache>
                <c:ptCount val="1"/>
                <c:pt idx="0">
                  <c:v>Double-Precision Mandel, FPS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Sheet4!$C$3:$G$4</c:f>
              <c:multiLvlStrCache>
                <c:ptCount val="5"/>
                <c:lvl>
                  <c:pt idx="0">
                    <c:v>Intel(R) HD Graphics 4600(HSW-DT GT2), 1150 MHz, 80 cores, 20 CUs, Driver 20.19.15.5126</c:v>
                  </c:pt>
                  <c:pt idx="1">
                    <c:v>nVIDIA GeForce 605 (GF119), 1046 MHz, 48 cores, 1 CU, Driver 388.13</c:v>
                  </c:pt>
                  <c:pt idx="2">
                    <c:v>nVidia GeForce GTX 1060 3GB (GP106), 1835 MHz, 1152 cores, 9 CUs, Driver 461.40</c:v>
                  </c:pt>
                  <c:pt idx="3">
                    <c:v>nVIDIA GeForce GTX 1050 Ti(GP 107), 1442 MHz, 768 cores, 6 Cus, Driver 456.71</c:v>
                  </c:pt>
                  <c:pt idx="4">
                    <c:v>GPU: No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Sheet4!$C$6:$G$6</c:f>
              <c:numCache>
                <c:formatCode>General</c:formatCode>
                <c:ptCount val="5"/>
                <c:pt idx="1">
                  <c:v>2.75</c:v>
                </c:pt>
                <c:pt idx="2">
                  <c:v>45.77</c:v>
                </c:pt>
                <c:pt idx="3">
                  <c:v>29.96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A-4BA2-8150-68F33355B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885132047"/>
        <c:axId val="1885129551"/>
        <c:axId val="0"/>
      </c:bar3DChart>
      <c:catAx>
        <c:axId val="188513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29551"/>
        <c:crosses val="autoZero"/>
        <c:auto val="1"/>
        <c:lblAlgn val="ctr"/>
        <c:lblOffset val="100"/>
        <c:noMultiLvlLbl val="0"/>
      </c:catAx>
      <c:valAx>
        <c:axId val="188512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3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bg-BG" sz="1800" b="0" i="0" baseline="0">
                <a:effectLst/>
              </a:rPr>
              <a:t>Производителност според </a:t>
            </a:r>
            <a:r>
              <a:rPr lang="en-US" sz="1800" b="0" i="0" baseline="0">
                <a:effectLst/>
              </a:rPr>
              <a:t>Julia/Mandel</a:t>
            </a:r>
            <a:r>
              <a:rPr lang="bg-BG" sz="1800" b="0" i="0" baseline="0">
                <a:effectLst/>
              </a:rPr>
              <a:t> фракталите за </a:t>
            </a:r>
            <a:r>
              <a:rPr lang="en-US" sz="1800" b="0" i="0" baseline="0">
                <a:effectLst/>
              </a:rPr>
              <a:t>GPU</a:t>
            </a:r>
            <a:r>
              <a:rPr lang="bg-BG" sz="1800" b="0" i="0" baseline="0">
                <a:effectLst/>
              </a:rPr>
              <a:t>, </a:t>
            </a:r>
            <a:r>
              <a:rPr lang="en-US" sz="1800" b="0" i="0" baseline="0">
                <a:effectLst/>
              </a:rPr>
              <a:t>MC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21559301831554128"/>
          <c:y val="3.7627808629508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1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Sheet4!$I$11</c:f>
              <c:strCache>
                <c:ptCount val="1"/>
                <c:pt idx="0">
                  <c:v>Single-Precision Julia, FPS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Sheet4!$J$9:$M$10</c:f>
              <c:multiLvlStrCache>
                <c:ptCount val="4"/>
                <c:lvl>
                  <c:pt idx="0">
                    <c:v>GPU1: GeForce 940M 1176 MHz, 384 cores, 3 CUs, Driver 376.54       GPU2: Intel® HD Graphics 520 1050 MHz, 96 cores, 24 CUs, Driver 20.19.15.4364</c:v>
                  </c:pt>
                  <c:pt idx="1">
                    <c:v>Intel® HD Graphics 620, 1150 MHz, 96 cores, 24 CUs, Driver 26.20.100.7812</c:v>
                  </c:pt>
                  <c:pt idx="2">
                    <c:v>Intel® HD Graphics 5500, 950 MHz, 96 cores, 24 CUs, Driver 20.19.15.4531</c:v>
                  </c:pt>
                  <c:pt idx="3">
                    <c:v>Intel® HD Graphics 4400 (HSW-ULT GT2), 1100 MHz, 80 cores, 20 CUs, Driver 20.19.15.5126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Sheet4!$J$11:$M$11</c:f>
              <c:numCache>
                <c:formatCode>General</c:formatCode>
                <c:ptCount val="4"/>
                <c:pt idx="0">
                  <c:v>223.7</c:v>
                </c:pt>
                <c:pt idx="1">
                  <c:v>116.8</c:v>
                </c:pt>
                <c:pt idx="2">
                  <c:v>79.38</c:v>
                </c:pt>
                <c:pt idx="3">
                  <c:v>73.75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3-461C-8E9D-4B608AA95413}"/>
            </c:ext>
          </c:extLst>
        </c:ser>
        <c:ser>
          <c:idx val="1"/>
          <c:order val="1"/>
          <c:tx>
            <c:strRef>
              <c:f>Sheet4!$I$12</c:f>
              <c:strCache>
                <c:ptCount val="1"/>
                <c:pt idx="0">
                  <c:v>Double-Precision Mandel, FPS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Sheet4!$J$9:$M$10</c:f>
              <c:multiLvlStrCache>
                <c:ptCount val="4"/>
                <c:lvl>
                  <c:pt idx="0">
                    <c:v>GPU1: GeForce 940M 1176 MHz, 384 cores, 3 CUs, Driver 376.54       GPU2: Intel® HD Graphics 520 1050 MHz, 96 cores, 24 CUs, Driver 20.19.15.4364</c:v>
                  </c:pt>
                  <c:pt idx="1">
                    <c:v>Intel® HD Graphics 620, 1150 MHz, 96 cores, 24 CUs, Driver 26.20.100.7812</c:v>
                  </c:pt>
                  <c:pt idx="2">
                    <c:v>Intel® HD Graphics 5500, 950 MHz, 96 cores, 24 CUs, Driver 20.19.15.4531</c:v>
                  </c:pt>
                  <c:pt idx="3">
                    <c:v>Intel® HD Graphics 4400 (HSW-ULT GT2), 1100 MHz, 80 cores, 20 CUs, Driver 20.19.15.5126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Sheet4!$J$12:$M$12</c:f>
              <c:numCache>
                <c:formatCode>General</c:formatCode>
                <c:ptCount val="4"/>
                <c:pt idx="0">
                  <c:v>9.2899999999999991</c:v>
                </c:pt>
                <c:pt idx="1">
                  <c:v>33.83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3-461C-8E9D-4B608AA95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809127311"/>
        <c:axId val="1809128975"/>
        <c:axId val="0"/>
      </c:bar3DChart>
      <c:catAx>
        <c:axId val="180912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28975"/>
        <c:crosses val="autoZero"/>
        <c:auto val="1"/>
        <c:lblAlgn val="ctr"/>
        <c:lblOffset val="100"/>
        <c:noMultiLvlLbl val="0"/>
      </c:catAx>
      <c:valAx>
        <c:axId val="180912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bg-BG" sz="1800" b="0" i="0" baseline="0">
                <a:effectLst/>
              </a:rPr>
              <a:t>Производителност в проценти спрямо базовата конфигурация, </a:t>
            </a:r>
            <a:r>
              <a:rPr lang="en-US" sz="1800" b="0" i="0" baseline="0">
                <a:effectLst/>
              </a:rPr>
              <a:t>Single-Precision Julia, FPS</a:t>
            </a:r>
            <a:r>
              <a:rPr lang="bg-BG" sz="1800" b="0" i="0" baseline="0">
                <a:effectLst/>
              </a:rPr>
              <a:t>, </a:t>
            </a:r>
            <a:r>
              <a:rPr lang="en-US" sz="1800" b="0" i="0" baseline="0">
                <a:effectLst/>
              </a:rPr>
              <a:t>MDC, WS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1141550276003323"/>
          <c:y val="6.4195328892524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Sheet4!$C$8</c:f>
              <c:strCache>
                <c:ptCount val="1"/>
                <c:pt idx="0">
                  <c:v>Single-Precision Julia, 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Sheet4!$D$4:$G$4</c:f>
              <c:strCache>
                <c:ptCount val="4"/>
                <c:pt idx="0">
                  <c:v>nVIDIA GeForce 605 (GF119), 1046 MHz, 48 cores, 1 CU, Driver 388.13</c:v>
                </c:pt>
                <c:pt idx="1">
                  <c:v>nVidia GeForce GTX 1060 3GB (GP106), 1835 MHz, 1152 cores, 9 CUs, Driver 461.40</c:v>
                </c:pt>
                <c:pt idx="2">
                  <c:v>nVIDIA GeForce GTX 1050 Ti(GP 107), 1442 MHz, 768 cores, 6 Cus, Driver 456.71</c:v>
                </c:pt>
                <c:pt idx="3">
                  <c:v>GPU: No</c:v>
                </c:pt>
              </c:strCache>
            </c:strRef>
          </c:cat>
          <c:val>
            <c:numRef>
              <c:f>Sheet4!$D$8:$G$8</c:f>
              <c:numCache>
                <c:formatCode>0.00%</c:formatCode>
                <c:ptCount val="4"/>
                <c:pt idx="0">
                  <c:v>-0.7568008023066316</c:v>
                </c:pt>
                <c:pt idx="1">
                  <c:v>9.9991224771217251</c:v>
                </c:pt>
                <c:pt idx="2">
                  <c:v>5.5124733609126242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2-4DB8-8301-02BD162AF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597967"/>
        <c:axId val="1343596719"/>
      </c:barChart>
      <c:catAx>
        <c:axId val="134359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96719"/>
        <c:crosses val="autoZero"/>
        <c:auto val="1"/>
        <c:lblAlgn val="ctr"/>
        <c:lblOffset val="100"/>
        <c:noMultiLvlLbl val="0"/>
      </c:catAx>
      <c:valAx>
        <c:axId val="13435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9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/>
              <a:t>Производителност</a:t>
            </a:r>
            <a:r>
              <a:rPr lang="bg-BG" baseline="0"/>
              <a:t> в проценти спрямо базовата конфигурация, </a:t>
            </a:r>
            <a:r>
              <a:rPr lang="en-US"/>
              <a:t>Single-Precision Julia, FPS</a:t>
            </a:r>
            <a:r>
              <a:rPr lang="bg-BG"/>
              <a:t>, </a:t>
            </a:r>
            <a:r>
              <a:rPr lang="en-US"/>
              <a:t>MC</a:t>
            </a:r>
          </a:p>
        </c:rich>
      </c:tx>
      <c:layout>
        <c:manualLayout>
          <c:xMode val="edge"/>
          <c:yMode val="edge"/>
          <c:x val="0.10410317041975498"/>
          <c:y val="2.2062355396750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Sheet4!$I$14</c:f>
              <c:strCache>
                <c:ptCount val="1"/>
                <c:pt idx="0">
                  <c:v>Single-Precision Julia, FPS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Sheet4!$J$10:$M$10</c:f>
              <c:strCache>
                <c:ptCount val="4"/>
                <c:pt idx="0">
                  <c:v>GPU1: GeForce 940M 1176 MHz, 384 cores, 3 CUs, Driver 376.54       GPU2: Intel® HD Graphics 520 1050 MHz, 96 cores, 24 CUs, Driver 20.19.15.4364</c:v>
                </c:pt>
                <c:pt idx="1">
                  <c:v>Intel® HD Graphics 620, 1150 MHz, 96 cores, 24 CUs, Driver 26.20.100.7812</c:v>
                </c:pt>
                <c:pt idx="2">
                  <c:v>Intel® HD Graphics 5500, 950 MHz, 96 cores, 24 CUs, Driver 20.19.15.4531</c:v>
                </c:pt>
                <c:pt idx="3">
                  <c:v>Intel® HD Graphics 4400 (HSW-ULT GT2), 1100 MHz, 80 cores, 20 CUs, Driver 20.19.15.5126</c:v>
                </c:pt>
              </c:strCache>
            </c:strRef>
          </c:cat>
          <c:val>
            <c:numRef>
              <c:f>Sheet4!$J$14:$M$14</c:f>
              <c:numCache>
                <c:formatCode>0.00%</c:formatCode>
                <c:ptCount val="4"/>
                <c:pt idx="0">
                  <c:v>1.804312398144666</c:v>
                </c:pt>
                <c:pt idx="1">
                  <c:v>0.46420960260749661</c:v>
                </c:pt>
                <c:pt idx="2">
                  <c:v>-4.8890560361038058E-3</c:v>
                </c:pt>
                <c:pt idx="3">
                  <c:v>-7.5466967531653453E-2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C-438F-BDBA-B5418088B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3887039"/>
        <c:axId val="1713887455"/>
      </c:barChart>
      <c:catAx>
        <c:axId val="17138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87455"/>
        <c:crosses val="autoZero"/>
        <c:auto val="1"/>
        <c:lblAlgn val="ctr"/>
        <c:lblOffset val="100"/>
        <c:noMultiLvlLbl val="0"/>
      </c:catAx>
      <c:valAx>
        <c:axId val="17138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8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Memory</a:t>
            </a:r>
            <a:r>
              <a:rPr lang="en-US" sz="2000" baseline="0"/>
              <a:t> Test, CPU, MDC, WS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Memory read,  MB/s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Sheet2!$C$3:$G$3</c:f>
              <c:numCache>
                <c:formatCode>General</c:formatCode>
                <c:ptCount val="5"/>
                <c:pt idx="0">
                  <c:v>12244</c:v>
                </c:pt>
                <c:pt idx="1">
                  <c:v>9711</c:v>
                </c:pt>
                <c:pt idx="2">
                  <c:v>29556</c:v>
                </c:pt>
                <c:pt idx="3">
                  <c:v>24181</c:v>
                </c:pt>
                <c:pt idx="4">
                  <c:v>64660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8-441A-9E1F-17E312AFA7DF}"/>
            </c:ext>
          </c:extLst>
        </c:ser>
        <c:ser>
          <c:idx val="1"/>
          <c:order val="1"/>
          <c:tx>
            <c:strRef>
              <c:f>Sheet2!$B$4</c:f>
              <c:strCache>
                <c:ptCount val="1"/>
                <c:pt idx="0">
                  <c:v>Memory write, MB/s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Sheet2!$C$4:$G$4</c:f>
              <c:numCache>
                <c:formatCode>General</c:formatCode>
                <c:ptCount val="5"/>
                <c:pt idx="0">
                  <c:v>12628</c:v>
                </c:pt>
                <c:pt idx="1">
                  <c:v>7235</c:v>
                </c:pt>
                <c:pt idx="2">
                  <c:v>30877</c:v>
                </c:pt>
                <c:pt idx="3">
                  <c:v>23564</c:v>
                </c:pt>
                <c:pt idx="4">
                  <c:v>47720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8-441A-9E1F-17E312AFA7DF}"/>
            </c:ext>
          </c:extLst>
        </c:ser>
        <c:ser>
          <c:idx val="2"/>
          <c:order val="2"/>
          <c:tx>
            <c:strRef>
              <c:f>Sheet2!$B$5</c:f>
              <c:strCache>
                <c:ptCount val="1"/>
                <c:pt idx="0">
                  <c:v>Memory copy, MB/s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Sheet2!$C$5:$G$5</c:f>
              <c:numCache>
                <c:formatCode>General</c:formatCode>
                <c:ptCount val="5"/>
                <c:pt idx="0">
                  <c:v>12438</c:v>
                </c:pt>
                <c:pt idx="1">
                  <c:v>8416</c:v>
                </c:pt>
                <c:pt idx="2">
                  <c:v>25101</c:v>
                </c:pt>
                <c:pt idx="3">
                  <c:v>22696</c:v>
                </c:pt>
                <c:pt idx="4">
                  <c:v>60734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8-441A-9E1F-17E312AFA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46675120"/>
        <c:axId val="446673808"/>
      </c:barChart>
      <c:catAx>
        <c:axId val="44667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73808"/>
        <c:crosses val="autoZero"/>
        <c:auto val="1"/>
        <c:lblAlgn val="ctr"/>
        <c:lblOffset val="100"/>
        <c:noMultiLvlLbl val="0"/>
      </c:catAx>
      <c:valAx>
        <c:axId val="44667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bg-BG" sz="2000"/>
              <a:t>Производителност</a:t>
            </a:r>
            <a:r>
              <a:rPr lang="bg-BG" sz="2000" baseline="0"/>
              <a:t> </a:t>
            </a:r>
            <a:r>
              <a:rPr lang="en-US" sz="2000" baseline="0"/>
              <a:t>FLOPS Test, </a:t>
            </a:r>
            <a:r>
              <a:rPr lang="en-US" sz="2000" b="1" i="0" u="none" strike="noStrike" baseline="0">
                <a:effectLst/>
              </a:rPr>
              <a:t>CPU, MDC, WS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Single-Precision FLOPS, GFLOPS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Sheet2!$C$6:$G$6</c:f>
              <c:numCache>
                <c:formatCode>General</c:formatCode>
                <c:ptCount val="5"/>
                <c:pt idx="0">
                  <c:v>408.6</c:v>
                </c:pt>
                <c:pt idx="1">
                  <c:v>51.08</c:v>
                </c:pt>
                <c:pt idx="2">
                  <c:v>414.8</c:v>
                </c:pt>
                <c:pt idx="3">
                  <c:v>233.5</c:v>
                </c:pt>
                <c:pt idx="4">
                  <c:v>2047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8-4D5D-AC11-25FA78A4F036}"/>
            </c:ext>
          </c:extLst>
        </c:ser>
        <c:ser>
          <c:idx val="1"/>
          <c:order val="1"/>
          <c:tx>
            <c:strRef>
              <c:f>Sheet2!$B$7</c:f>
              <c:strCache>
                <c:ptCount val="1"/>
                <c:pt idx="0">
                  <c:v>Double-Precision FLOPS, GFLOPS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Sheet2!$C$7:$G$7</c:f>
              <c:numCache>
                <c:formatCode>General</c:formatCode>
                <c:ptCount val="5"/>
                <c:pt idx="0">
                  <c:v>204.2</c:v>
                </c:pt>
                <c:pt idx="1">
                  <c:v>25.54</c:v>
                </c:pt>
                <c:pt idx="2">
                  <c:v>206.4</c:v>
                </c:pt>
                <c:pt idx="3">
                  <c:v>116.8</c:v>
                </c:pt>
                <c:pt idx="4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8-4D5D-AC11-25FA78A4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46261936"/>
        <c:axId val="446262920"/>
      </c:barChart>
      <c:catAx>
        <c:axId val="44626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62920"/>
        <c:crosses val="autoZero"/>
        <c:auto val="1"/>
        <c:lblAlgn val="ctr"/>
        <c:lblOffset val="100"/>
        <c:noMultiLvlLbl val="0"/>
      </c:catAx>
      <c:valAx>
        <c:axId val="44626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6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bg-BG"/>
              <a:t>Производителност </a:t>
            </a:r>
            <a:r>
              <a:rPr lang="en-US"/>
              <a:t>IOPS Test, </a:t>
            </a:r>
            <a:r>
              <a:rPr lang="en-US" sz="1600" b="1" i="0" u="none" strike="noStrike" baseline="0">
                <a:effectLst/>
              </a:rPr>
              <a:t>CPU, MDC, 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Sheet2!$B$8</c:f>
              <c:strCache>
                <c:ptCount val="1"/>
                <c:pt idx="0">
                  <c:v>24-bit Integer IOPS, GIOPS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Sheet2!$C$8:$G$8</c:f>
              <c:numCache>
                <c:formatCode>General</c:formatCode>
                <c:ptCount val="5"/>
                <c:pt idx="0">
                  <c:v>108.5</c:v>
                </c:pt>
                <c:pt idx="1">
                  <c:v>12.77</c:v>
                </c:pt>
                <c:pt idx="2">
                  <c:v>185.5</c:v>
                </c:pt>
                <c:pt idx="3">
                  <c:v>116</c:v>
                </c:pt>
                <c:pt idx="4">
                  <c:v>511.7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C-4817-BB9F-6CC15DCB7C23}"/>
            </c:ext>
          </c:extLst>
        </c:ser>
        <c:ser>
          <c:idx val="1"/>
          <c:order val="1"/>
          <c:tx>
            <c:strRef>
              <c:f>Sheet2!$B$9</c:f>
              <c:strCache>
                <c:ptCount val="1"/>
                <c:pt idx="0">
                  <c:v>32-bit Integer IOPS, GIOPS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Sheet2!$C$9:$G$9</c:f>
              <c:numCache>
                <c:formatCode>General</c:formatCode>
                <c:ptCount val="5"/>
                <c:pt idx="0">
                  <c:v>108.5</c:v>
                </c:pt>
                <c:pt idx="1">
                  <c:v>12.77</c:v>
                </c:pt>
                <c:pt idx="2">
                  <c:v>183</c:v>
                </c:pt>
                <c:pt idx="3">
                  <c:v>116</c:v>
                </c:pt>
                <c:pt idx="4">
                  <c:v>511.6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C-4817-BB9F-6CC15DCB7C23}"/>
            </c:ext>
          </c:extLst>
        </c:ser>
        <c:ser>
          <c:idx val="2"/>
          <c:order val="2"/>
          <c:tx>
            <c:strRef>
              <c:f>Sheet2!$B$10</c:f>
              <c:strCache>
                <c:ptCount val="1"/>
                <c:pt idx="0">
                  <c:v>64-bit Integer IOPS, GIOPS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Sheet2!$C$1:$G$2</c:f>
              <c:multiLvlStrCache>
                <c:ptCount val="5"/>
                <c:lvl>
                  <c:pt idx="0">
                    <c:v>Intel Core i5-4570 (Haswell-DT), 3500 MHz, 4 cores, 4 threads</c:v>
                  </c:pt>
                  <c:pt idx="1">
                    <c:v>AMD A4-4000 (Richland), 3228 MHz, 2 cores, 2 threads</c:v>
                  </c:pt>
                  <c:pt idx="2">
                    <c:v>Intel Core i5-6500(Skylake-S), 3400 MHz, 4 cores, 4 threads</c:v>
                  </c:pt>
                  <c:pt idx="3">
                    <c:v>Intel Xeon ES-1602 (Sandy Bridge-EP), 3700 MHz, 4 cores, 8 threads</c:v>
                  </c:pt>
                  <c:pt idx="4">
                    <c:v>2x Intel Xeon ES-2676 v3 (Haswell-EP), 2700 MHz, 24 cores, 48 threads</c:v>
                  </c:pt>
                </c:lvl>
                <c:lvl>
                  <c:pt idx="0">
                    <c:v>MDC HP EliteDesk</c:v>
                  </c:pt>
                  <c:pt idx="1">
                    <c:v>MDC AMD Desktop</c:v>
                  </c:pt>
                  <c:pt idx="2">
                    <c:v>MDC Custom Build Gaming PC</c:v>
                  </c:pt>
                  <c:pt idx="3">
                    <c:v>WS нисък клас</c:v>
                  </c:pt>
                  <c:pt idx="4">
                    <c:v>WS среден клас</c:v>
                  </c:pt>
                </c:lvl>
              </c:multiLvlStrCache>
            </c:multiLvlStrRef>
          </c:cat>
          <c:val>
            <c:numRef>
              <c:f>Sheet2!$C$10:$G$10</c:f>
              <c:numCache>
                <c:formatCode>General</c:formatCode>
                <c:ptCount val="5"/>
                <c:pt idx="0">
                  <c:v>27.13</c:v>
                </c:pt>
                <c:pt idx="1">
                  <c:v>3.16</c:v>
                </c:pt>
                <c:pt idx="2">
                  <c:v>25.74</c:v>
                </c:pt>
                <c:pt idx="3">
                  <c:v>29.06</c:v>
                </c:pt>
                <c:pt idx="4">
                  <c:v>127.9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C-4817-BB9F-6CC15DCB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8706048"/>
        <c:axId val="98706704"/>
      </c:barChart>
      <c:catAx>
        <c:axId val="9870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06704"/>
        <c:crosses val="autoZero"/>
        <c:auto val="1"/>
        <c:lblAlgn val="ctr"/>
        <c:lblOffset val="100"/>
        <c:noMultiLvlLbl val="0"/>
      </c:catAx>
      <c:valAx>
        <c:axId val="9870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0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Memory Test, CPU, MC</a:t>
            </a:r>
            <a:endParaRPr lang="bg-BG" sz="2400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060408719670065"/>
          <c:y val="4.3562818798593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Sheet3!$A$3</c:f>
              <c:strCache>
                <c:ptCount val="1"/>
                <c:pt idx="0">
                  <c:v>Memory read,  MB/s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Sheet3!$B$3:$E$3</c:f>
              <c:numCache>
                <c:formatCode>General</c:formatCode>
                <c:ptCount val="4"/>
                <c:pt idx="0">
                  <c:v>12290</c:v>
                </c:pt>
                <c:pt idx="1">
                  <c:v>26285</c:v>
                </c:pt>
                <c:pt idx="2">
                  <c:v>21174</c:v>
                </c:pt>
                <c:pt idx="3">
                  <c:v>20893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D-403A-BAFB-E4CD5EA0262B}"/>
            </c:ext>
          </c:extLst>
        </c:ser>
        <c:ser>
          <c:idx val="1"/>
          <c:order val="1"/>
          <c:tx>
            <c:strRef>
              <c:f>Sheet3!$A$4</c:f>
              <c:strCache>
                <c:ptCount val="1"/>
                <c:pt idx="0">
                  <c:v>Memory write, MB/s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Sheet3!$B$4:$E$4</c:f>
              <c:numCache>
                <c:formatCode>General</c:formatCode>
                <c:ptCount val="4"/>
                <c:pt idx="0">
                  <c:v>12160</c:v>
                </c:pt>
                <c:pt idx="1">
                  <c:v>27853</c:v>
                </c:pt>
                <c:pt idx="2">
                  <c:v>24084</c:v>
                </c:pt>
                <c:pt idx="3">
                  <c:v>24158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D-403A-BAFB-E4CD5EA0262B}"/>
            </c:ext>
          </c:extLst>
        </c:ser>
        <c:ser>
          <c:idx val="2"/>
          <c:order val="2"/>
          <c:tx>
            <c:strRef>
              <c:f>Sheet3!$A$5</c:f>
              <c:strCache>
                <c:ptCount val="1"/>
                <c:pt idx="0">
                  <c:v>Memory copy, MB/s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Sheet3!$B$5:$E$5</c:f>
              <c:numCache>
                <c:formatCode>General</c:formatCode>
                <c:ptCount val="4"/>
                <c:pt idx="0">
                  <c:v>12571</c:v>
                </c:pt>
                <c:pt idx="1">
                  <c:v>26071</c:v>
                </c:pt>
                <c:pt idx="2">
                  <c:v>21940</c:v>
                </c:pt>
                <c:pt idx="3">
                  <c:v>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D-403A-BAFB-E4CD5EA02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77981816"/>
        <c:axId val="477980504"/>
      </c:barChart>
      <c:catAx>
        <c:axId val="47798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80504"/>
        <c:crosses val="autoZero"/>
        <c:auto val="1"/>
        <c:lblAlgn val="ctr"/>
        <c:lblOffset val="100"/>
        <c:noMultiLvlLbl val="0"/>
      </c:catAx>
      <c:valAx>
        <c:axId val="47798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8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bg-BG" sz="24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Производителност </a:t>
            </a:r>
            <a:r>
              <a:rPr lang="en-US" sz="24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FLOPS Test, </a:t>
            </a:r>
            <a:r>
              <a:rPr lang="en-US" sz="2400" b="1" i="0" baseline="0">
                <a:effectLst/>
              </a:rPr>
              <a:t>CPU, MC</a:t>
            </a:r>
            <a:endParaRPr lang="bg-BG" sz="2400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6391545519132131"/>
          <c:y val="3.4724852639198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Sheet3!$A$6</c:f>
              <c:strCache>
                <c:ptCount val="1"/>
                <c:pt idx="0">
                  <c:v>Single-Precision FLOPS, GFLOPS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Sheet3!$B$6:$E$6</c:f>
              <c:numCache>
                <c:formatCode>General</c:formatCode>
                <c:ptCount val="4"/>
                <c:pt idx="0">
                  <c:v>178.5</c:v>
                </c:pt>
                <c:pt idx="1">
                  <c:v>222.3</c:v>
                </c:pt>
                <c:pt idx="2">
                  <c:v>184.9</c:v>
                </c:pt>
                <c:pt idx="3">
                  <c:v>189.4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B-4FB8-BFDD-7FC8FCE41605}"/>
            </c:ext>
          </c:extLst>
        </c:ser>
        <c:ser>
          <c:idx val="1"/>
          <c:order val="1"/>
          <c:tx>
            <c:strRef>
              <c:f>Sheet3!$A$7</c:f>
              <c:strCache>
                <c:ptCount val="1"/>
                <c:pt idx="0">
                  <c:v>Double-Precision FLOPS, GFLOPS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Sheet3!$B$7:$E$7</c:f>
              <c:numCache>
                <c:formatCode>General</c:formatCode>
                <c:ptCount val="4"/>
                <c:pt idx="0">
                  <c:v>89.23</c:v>
                </c:pt>
                <c:pt idx="1">
                  <c:v>111</c:v>
                </c:pt>
                <c:pt idx="2">
                  <c:v>92.45</c:v>
                </c:pt>
                <c:pt idx="3">
                  <c:v>94.27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B-4FB8-BFDD-7FC8FCE4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48550560"/>
        <c:axId val="448552856"/>
      </c:barChart>
      <c:catAx>
        <c:axId val="44855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52856"/>
        <c:crosses val="autoZero"/>
        <c:auto val="1"/>
        <c:lblAlgn val="ctr"/>
        <c:lblOffset val="100"/>
        <c:noMultiLvlLbl val="0"/>
      </c:catAx>
      <c:valAx>
        <c:axId val="448552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5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bg-BG" sz="24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  <a:latin typeface="+mn-lt"/>
              </a:rPr>
              <a:t>Производителност </a:t>
            </a:r>
            <a:r>
              <a:rPr lang="en-US" sz="24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  <a:latin typeface="+mn-lt"/>
              </a:rPr>
              <a:t>IOPS Test, </a:t>
            </a:r>
            <a:r>
              <a:rPr lang="en-US" sz="2400" b="1" i="0" baseline="0">
                <a:effectLst/>
                <a:latin typeface="+mn-lt"/>
              </a:rPr>
              <a:t>CPU, MC</a:t>
            </a:r>
            <a:endParaRPr lang="en-US" sz="2400">
              <a:effectLst/>
              <a:latin typeface="+mn-lt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 sz="1800"/>
          </a:p>
        </c:rich>
      </c:tx>
      <c:layout>
        <c:manualLayout>
          <c:xMode val="edge"/>
          <c:yMode val="edge"/>
          <c:x val="0.21343775066091422"/>
          <c:y val="4.39910802849768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Sheet3!$A$8</c:f>
              <c:strCache>
                <c:ptCount val="1"/>
                <c:pt idx="0">
                  <c:v>24-bit Integer IOPS, GIOPS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Sheet3!$B$8:$E$8</c:f>
              <c:numCache>
                <c:formatCode>General</c:formatCode>
                <c:ptCount val="4"/>
                <c:pt idx="0">
                  <c:v>80.010000000000005</c:v>
                </c:pt>
                <c:pt idx="1">
                  <c:v>99.53</c:v>
                </c:pt>
                <c:pt idx="2">
                  <c:v>46.23</c:v>
                </c:pt>
                <c:pt idx="3">
                  <c:v>47.82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4-4E8A-82D1-39768D9F005B}"/>
            </c:ext>
          </c:extLst>
        </c:ser>
        <c:ser>
          <c:idx val="1"/>
          <c:order val="1"/>
          <c:tx>
            <c:strRef>
              <c:f>Sheet3!$A$9</c:f>
              <c:strCache>
                <c:ptCount val="1"/>
                <c:pt idx="0">
                  <c:v>32-bit Integer IOPS, GIOPS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Sheet3!$B$9:$E$9</c:f>
              <c:numCache>
                <c:formatCode>General</c:formatCode>
                <c:ptCount val="4"/>
                <c:pt idx="0">
                  <c:v>80.010000000000005</c:v>
                </c:pt>
                <c:pt idx="1">
                  <c:v>99.5</c:v>
                </c:pt>
                <c:pt idx="2">
                  <c:v>46.23</c:v>
                </c:pt>
                <c:pt idx="3">
                  <c:v>47.83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24-4E8A-82D1-39768D9F005B}"/>
            </c:ext>
          </c:extLst>
        </c:ser>
        <c:ser>
          <c:idx val="2"/>
          <c:order val="2"/>
          <c:tx>
            <c:strRef>
              <c:f>Sheet3!$A$10</c:f>
              <c:strCache>
                <c:ptCount val="1"/>
                <c:pt idx="0">
                  <c:v>64-bit Integer IOPS, GIOPS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Sheet3!$B$1:$E$2</c:f>
              <c:multiLvlStrCache>
                <c:ptCount val="4"/>
                <c:lvl>
                  <c:pt idx="0">
                    <c:v>Intel Core i7-6500U (Skylake-U), 3000 MHz, 2 cores, 4 threads</c:v>
                  </c:pt>
                  <c:pt idx="1">
                    <c:v>Intel Core i7-7600U (Kaby Lake-U), 3900 MHz, 2 cores, 4 threads</c:v>
                  </c:pt>
                  <c:pt idx="2">
                    <c:v>Intel Core i7-5500U (Broadwell-U), 2400 MHz, 2 cores, 4 threads</c:v>
                  </c:pt>
                  <c:pt idx="3">
                    <c:v>Intel Core i7-4600U (Haswell-ULT), 2600 MHz, 2 cores, 4 threads</c:v>
                  </c:pt>
                </c:lvl>
                <c:lvl>
                  <c:pt idx="0">
                    <c:v>MC Lenovo Yoga</c:v>
                  </c:pt>
                  <c:pt idx="1">
                    <c:v>MC Lenovo Thinkpad Yoga X1</c:v>
                  </c:pt>
                  <c:pt idx="2">
                    <c:v>MC Lenovo Thinkpad Yoga 12</c:v>
                  </c:pt>
                  <c:pt idx="3">
                    <c:v>MC HP EliteBook</c:v>
                  </c:pt>
                </c:lvl>
              </c:multiLvlStrCache>
            </c:multiLvlStrRef>
          </c:cat>
          <c:val>
            <c:numRef>
              <c:f>Sheet3!$B$10:$E$10</c:f>
              <c:numCache>
                <c:formatCode>General</c:formatCode>
                <c:ptCount val="4"/>
                <c:pt idx="0">
                  <c:v>11.95</c:v>
                </c:pt>
                <c:pt idx="1">
                  <c:v>15.52</c:v>
                </c:pt>
                <c:pt idx="2">
                  <c:v>11.55</c:v>
                </c:pt>
                <c:pt idx="3">
                  <c:v>11.95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24-4E8A-82D1-39768D9F0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16674895"/>
        <c:axId val="1716676143"/>
      </c:barChart>
      <c:catAx>
        <c:axId val="1716674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76143"/>
        <c:crosses val="autoZero"/>
        <c:auto val="1"/>
        <c:lblAlgn val="ctr"/>
        <c:lblOffset val="100"/>
        <c:noMultiLvlLbl val="0"/>
      </c:catAx>
      <c:valAx>
        <c:axId val="17166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7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1184413</xdr:colOff>
      <xdr:row>12</xdr:row>
      <xdr:rowOff>91109</xdr:rowOff>
    </xdr:from>
    <xdr:to>
      <xdr:col>27</xdr:col>
      <xdr:colOff>1731065</xdr:colOff>
      <xdr:row>33</xdr:row>
      <xdr:rowOff>62948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5981EB-00FE-4032-9BE9-9A01CD88D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5549349</xdr:colOff>
      <xdr:row>12</xdr:row>
      <xdr:rowOff>50526</xdr:rowOff>
    </xdr:from>
    <xdr:to>
      <xdr:col>5</xdr:col>
      <xdr:colOff>2274820</xdr:colOff>
      <xdr:row>33</xdr:row>
      <xdr:rowOff>75375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8956BE-849D-4F0E-9DE2-DABDB4750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5614307</xdr:colOff>
      <xdr:row>34</xdr:row>
      <xdr:rowOff>89866</xdr:rowOff>
    </xdr:from>
    <xdr:to>
      <xdr:col>5</xdr:col>
      <xdr:colOff>2367346</xdr:colOff>
      <xdr:row>55</xdr:row>
      <xdr:rowOff>139562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1E3F6B-EF9C-4BA3-898A-4CD877F38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3834849</xdr:colOff>
      <xdr:row>17</xdr:row>
      <xdr:rowOff>53008</xdr:rowOff>
    </xdr:from>
    <xdr:to>
      <xdr:col>7</xdr:col>
      <xdr:colOff>2269435</xdr:colOff>
      <xdr:row>34</xdr:row>
      <xdr:rowOff>132522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813FEF-2F12-4174-A935-CB83E8971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1979543</xdr:colOff>
      <xdr:row>20</xdr:row>
      <xdr:rowOff>41413</xdr:rowOff>
    </xdr:from>
    <xdr:to>
      <xdr:col>12</xdr:col>
      <xdr:colOff>869674</xdr:colOff>
      <xdr:row>36</xdr:row>
      <xdr:rowOff>16565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F8103B-4B19-43E0-A1FB-E4650D088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568187</xdr:colOff>
      <xdr:row>19</xdr:row>
      <xdr:rowOff>95250</xdr:rowOff>
    </xdr:from>
    <xdr:to>
      <xdr:col>4</xdr:col>
      <xdr:colOff>28575</xdr:colOff>
      <xdr:row>43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7AC096-F2AD-44A1-9C3D-0A057B73B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419100</xdr:colOff>
      <xdr:row>19</xdr:row>
      <xdr:rowOff>114300</xdr:rowOff>
    </xdr:from>
    <xdr:to>
      <xdr:col>6</xdr:col>
      <xdr:colOff>1571624</xdr:colOff>
      <xdr:row>42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B94CA6-E352-4B02-BD9C-0FEA0AF2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2769705</xdr:colOff>
      <xdr:row>14</xdr:row>
      <xdr:rowOff>172280</xdr:rowOff>
    </xdr:from>
    <xdr:to>
      <xdr:col>20</xdr:col>
      <xdr:colOff>200025</xdr:colOff>
      <xdr:row>39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DC3A3D-E35F-4501-A70D-EAB76B34F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1905000</xdr:colOff>
      <xdr:row>16</xdr:row>
      <xdr:rowOff>85725</xdr:rowOff>
    </xdr:from>
    <xdr:to>
      <xdr:col>6</xdr:col>
      <xdr:colOff>409575</xdr:colOff>
      <xdr:row>42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F8142-5485-412F-877A-9C6783A98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1924050</xdr:colOff>
      <xdr:row>43</xdr:row>
      <xdr:rowOff>180974</xdr:rowOff>
    </xdr:from>
    <xdr:to>
      <xdr:col>6</xdr:col>
      <xdr:colOff>419100</xdr:colOff>
      <xdr:row>70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59AFB-85F3-4781-B36B-F72213CA8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67236</xdr:colOff>
      <xdr:row>15</xdr:row>
      <xdr:rowOff>168088</xdr:rowOff>
    </xdr:from>
    <xdr:to>
      <xdr:col>25</xdr:col>
      <xdr:colOff>459442</xdr:colOff>
      <xdr:row>42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5B4308-935D-44A2-8C6D-D5953C8B9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722B-E28A-4657-8CE0-5E73A253EBE0}">
  <dimension ref="A1:AD27"/>
  <sheetViews>
    <sheetView topLeftCell="G1" zoomScale="115" zoomScaleNormal="115" workbookViewId="0">
      <selection activeCell="H15" sqref="H15"/>
    </sheetView>
  </sheetViews>
  <sheetFormatPr defaultRowHeight="15" x14ac:dyDescent="0.25"/>
  <cols>
    <col min="1" max="1" width="29.7109375" customWidth="1"/>
    <col min="2" max="2" width="44.42578125" customWidth="1"/>
    <col min="3" max="3" width="32.42578125" customWidth="1"/>
    <col min="4" max="4" width="36.7109375" customWidth="1"/>
    <col min="5" max="5" width="27" customWidth="1"/>
    <col min="6" max="6" width="39.5703125" customWidth="1"/>
    <col min="7" max="7" width="36.5703125" customWidth="1"/>
    <col min="8" max="8" width="38.140625" customWidth="1"/>
    <col min="9" max="9" width="37.42578125" customWidth="1"/>
    <col min="10" max="10" width="17.7109375" customWidth="1"/>
    <col min="11" max="11" width="38" customWidth="1"/>
    <col min="12" max="12" width="70.7109375" customWidth="1"/>
    <col min="13" max="13" width="32.42578125" customWidth="1"/>
    <col min="14" max="14" width="46.28515625" customWidth="1"/>
    <col min="15" max="15" width="34.7109375" customWidth="1"/>
    <col min="16" max="16" width="43.28515625" customWidth="1"/>
    <col min="17" max="17" width="34.42578125" customWidth="1"/>
    <col min="18" max="18" width="44.7109375" customWidth="1"/>
    <col min="19" max="19" width="34.85546875" customWidth="1"/>
    <col min="22" max="22" width="29.85546875" customWidth="1"/>
    <col min="23" max="23" width="17.140625" customWidth="1"/>
    <col min="24" max="24" width="27.28515625" customWidth="1"/>
    <col min="25" max="25" width="14" customWidth="1"/>
    <col min="26" max="26" width="15.140625" customWidth="1"/>
    <col min="27" max="27" width="15.28515625" customWidth="1"/>
    <col min="28" max="28" width="26.7109375" customWidth="1"/>
    <col min="29" max="29" width="26.140625" customWidth="1"/>
    <col min="30" max="30" width="15.7109375" customWidth="1"/>
  </cols>
  <sheetData>
    <row r="1" spans="1:30" x14ac:dyDescent="0.25">
      <c r="B1" s="67"/>
      <c r="C1" s="67"/>
      <c r="J1" s="67"/>
      <c r="K1" s="67"/>
      <c r="N1" s="67"/>
      <c r="O1" s="67"/>
      <c r="X1" s="67"/>
      <c r="Z1" s="67"/>
      <c r="AB1" s="67"/>
      <c r="AC1" s="67"/>
    </row>
    <row r="2" spans="1:30" x14ac:dyDescent="0.25">
      <c r="A2" s="4" t="s">
        <v>1</v>
      </c>
      <c r="B2" s="60" t="s">
        <v>2</v>
      </c>
      <c r="C2" s="61"/>
      <c r="D2" s="55" t="s">
        <v>21</v>
      </c>
      <c r="E2" s="56"/>
      <c r="F2" s="55" t="s">
        <v>56</v>
      </c>
      <c r="G2" s="62"/>
      <c r="H2" s="55" t="s">
        <v>3</v>
      </c>
      <c r="I2" s="56"/>
      <c r="J2" s="63" t="s">
        <v>4</v>
      </c>
      <c r="K2" s="64"/>
      <c r="L2" s="55" t="s">
        <v>35</v>
      </c>
      <c r="M2" s="56"/>
      <c r="N2" s="57" t="s">
        <v>46</v>
      </c>
      <c r="O2" s="57"/>
      <c r="P2" s="58" t="s">
        <v>37</v>
      </c>
      <c r="Q2" s="59"/>
      <c r="R2" s="55" t="s">
        <v>51</v>
      </c>
      <c r="S2" s="56"/>
      <c r="V2" s="68"/>
      <c r="W2" s="85" t="s">
        <v>21</v>
      </c>
      <c r="X2" s="1" t="s">
        <v>56</v>
      </c>
      <c r="Y2" s="85" t="s">
        <v>3</v>
      </c>
      <c r="Z2" s="1" t="s">
        <v>4</v>
      </c>
      <c r="AA2" s="85" t="s">
        <v>35</v>
      </c>
      <c r="AB2" s="90" t="s">
        <v>46</v>
      </c>
      <c r="AC2" s="1" t="s">
        <v>37</v>
      </c>
      <c r="AD2" s="85" t="s">
        <v>51</v>
      </c>
    </row>
    <row r="3" spans="1:30" x14ac:dyDescent="0.25">
      <c r="A3" s="5"/>
      <c r="B3" s="9" t="s">
        <v>19</v>
      </c>
      <c r="C3" s="9" t="s">
        <v>18</v>
      </c>
      <c r="D3" s="30" t="s">
        <v>23</v>
      </c>
      <c r="E3" s="36" t="s">
        <v>22</v>
      </c>
      <c r="F3" s="31" t="s">
        <v>31</v>
      </c>
      <c r="G3" s="10" t="s">
        <v>26</v>
      </c>
      <c r="H3" s="32" t="s">
        <v>30</v>
      </c>
      <c r="I3" s="33" t="s">
        <v>44</v>
      </c>
      <c r="J3" s="33" t="s">
        <v>33</v>
      </c>
      <c r="K3" s="34" t="s">
        <v>34</v>
      </c>
      <c r="L3" s="35" t="s">
        <v>40</v>
      </c>
      <c r="M3" s="36" t="s">
        <v>45</v>
      </c>
      <c r="N3" s="33" t="s">
        <v>49</v>
      </c>
      <c r="O3" s="34" t="s">
        <v>50</v>
      </c>
      <c r="P3" s="33" t="s">
        <v>42</v>
      </c>
      <c r="Q3" s="34" t="s">
        <v>43</v>
      </c>
      <c r="R3" s="32" t="s">
        <v>55</v>
      </c>
      <c r="S3" s="33" t="s">
        <v>54</v>
      </c>
      <c r="V3" s="74" t="s">
        <v>0</v>
      </c>
      <c r="W3" s="91">
        <v>-0.20687683763475989</v>
      </c>
      <c r="X3" s="83">
        <v>1.4139170205815093</v>
      </c>
      <c r="Y3" s="92">
        <v>0.97492649460960468</v>
      </c>
      <c r="Z3" s="83">
        <v>4.2809539366220193</v>
      </c>
      <c r="AA3" s="92">
        <v>3.7569421757595559E-3</v>
      </c>
      <c r="AB3" s="93">
        <v>1.1467657628226069</v>
      </c>
      <c r="AC3" s="83">
        <v>0.7293368180333224</v>
      </c>
      <c r="AD3" s="92">
        <v>0.7063868016987912</v>
      </c>
    </row>
    <row r="4" spans="1:30" x14ac:dyDescent="0.25">
      <c r="A4" s="6"/>
      <c r="B4" s="10" t="s">
        <v>16</v>
      </c>
      <c r="C4" s="10" t="s">
        <v>15</v>
      </c>
      <c r="D4" s="37" t="s">
        <v>20</v>
      </c>
      <c r="E4" s="38" t="s">
        <v>24</v>
      </c>
      <c r="F4" s="10" t="s">
        <v>25</v>
      </c>
      <c r="G4" s="11" t="s">
        <v>27</v>
      </c>
      <c r="H4" s="39" t="s">
        <v>28</v>
      </c>
      <c r="I4" s="40" t="s">
        <v>29</v>
      </c>
      <c r="J4" s="9"/>
      <c r="K4" s="41" t="s">
        <v>32</v>
      </c>
      <c r="L4" s="33" t="s">
        <v>41</v>
      </c>
      <c r="M4" s="33" t="s">
        <v>36</v>
      </c>
      <c r="N4" s="33" t="s">
        <v>47</v>
      </c>
      <c r="O4" s="34" t="s">
        <v>48</v>
      </c>
      <c r="P4" s="42" t="s">
        <v>38</v>
      </c>
      <c r="Q4" s="41" t="s">
        <v>39</v>
      </c>
      <c r="R4" s="35" t="s">
        <v>52</v>
      </c>
      <c r="S4" s="42" t="s">
        <v>53</v>
      </c>
      <c r="V4" s="68" t="s">
        <v>5</v>
      </c>
      <c r="W4" s="94">
        <v>-0.42706683560342096</v>
      </c>
      <c r="X4" s="95">
        <v>1.4451219512195121</v>
      </c>
      <c r="Y4" s="91">
        <v>0.86601203674374405</v>
      </c>
      <c r="Z4" s="96">
        <v>2.7789040228064619</v>
      </c>
      <c r="AA4" s="91">
        <v>-3.7060500475134622E-2</v>
      </c>
      <c r="AB4" s="97">
        <v>1.2056541019955653</v>
      </c>
      <c r="AC4" s="96">
        <v>0.90719037060500474</v>
      </c>
      <c r="AD4" s="91">
        <v>0.91305036426987651</v>
      </c>
    </row>
    <row r="5" spans="1:30" x14ac:dyDescent="0.25">
      <c r="A5" s="7" t="s">
        <v>0</v>
      </c>
      <c r="B5" s="9">
        <v>5109</v>
      </c>
      <c r="C5" s="9">
        <v>12244</v>
      </c>
      <c r="D5" s="30">
        <v>5543</v>
      </c>
      <c r="E5" s="9">
        <v>9711</v>
      </c>
      <c r="F5" s="9">
        <v>12455</v>
      </c>
      <c r="G5" s="9">
        <v>29556</v>
      </c>
      <c r="H5" s="35">
        <v>6319</v>
      </c>
      <c r="I5" s="42">
        <v>24181</v>
      </c>
      <c r="J5" s="10"/>
      <c r="K5" s="34">
        <v>64660</v>
      </c>
      <c r="L5" s="35">
        <v>3685</v>
      </c>
      <c r="M5" s="42">
        <v>12290</v>
      </c>
      <c r="N5" s="42">
        <v>8477</v>
      </c>
      <c r="O5" s="35">
        <v>26285</v>
      </c>
      <c r="P5" s="33">
        <v>8164</v>
      </c>
      <c r="Q5" s="34">
        <v>21174</v>
      </c>
      <c r="R5" s="32">
        <v>7998</v>
      </c>
      <c r="S5" s="33">
        <v>20893</v>
      </c>
      <c r="V5" s="68" t="s">
        <v>6</v>
      </c>
      <c r="W5" s="91">
        <v>-0.32336388486895001</v>
      </c>
      <c r="X5" s="98">
        <v>1.0180897250361796</v>
      </c>
      <c r="Y5" s="94">
        <v>0.82473066409390572</v>
      </c>
      <c r="Z5" s="99">
        <v>3.8829393793214342</v>
      </c>
      <c r="AA5" s="94">
        <v>1.0693037465830519E-2</v>
      </c>
      <c r="AB5" s="100">
        <v>1.0960765396365975</v>
      </c>
      <c r="AC5" s="99">
        <v>0.76394918797234279</v>
      </c>
      <c r="AD5" s="94">
        <v>0.76885351342659591</v>
      </c>
    </row>
    <row r="6" spans="1:30" x14ac:dyDescent="0.25">
      <c r="A6" s="4" t="s">
        <v>5</v>
      </c>
      <c r="B6" s="10">
        <v>5110</v>
      </c>
      <c r="C6" s="10">
        <v>12628</v>
      </c>
      <c r="D6" s="37">
        <v>6215</v>
      </c>
      <c r="E6" s="10">
        <v>7235</v>
      </c>
      <c r="F6" s="10">
        <v>12164</v>
      </c>
      <c r="G6" s="10">
        <v>30877</v>
      </c>
      <c r="H6" s="32">
        <v>5853</v>
      </c>
      <c r="I6" s="33">
        <v>23564</v>
      </c>
      <c r="J6" s="9"/>
      <c r="K6" s="41">
        <v>47720</v>
      </c>
      <c r="L6" s="32">
        <v>4719</v>
      </c>
      <c r="M6" s="33">
        <v>12160</v>
      </c>
      <c r="N6" s="33">
        <v>8760</v>
      </c>
      <c r="O6" s="34">
        <v>27853</v>
      </c>
      <c r="P6" s="42">
        <v>8318</v>
      </c>
      <c r="Q6" s="41">
        <v>24084</v>
      </c>
      <c r="R6" s="35">
        <v>8120</v>
      </c>
      <c r="S6" s="42">
        <v>24158</v>
      </c>
      <c r="V6" s="73" t="s">
        <v>7</v>
      </c>
      <c r="W6" s="94">
        <v>-0.87498776309349002</v>
      </c>
      <c r="X6" s="98">
        <v>1.5173764072442458E-2</v>
      </c>
      <c r="Y6" s="94">
        <v>-0.42853646598139994</v>
      </c>
      <c r="Z6" s="99">
        <v>4.0097895252080278</v>
      </c>
      <c r="AA6" s="94">
        <v>-0.56314243759177685</v>
      </c>
      <c r="AB6" s="100">
        <v>-0.45594713656387664</v>
      </c>
      <c r="AC6" s="99">
        <v>-0.5474791972589329</v>
      </c>
      <c r="AD6" s="94">
        <v>-0.53646598139990209</v>
      </c>
    </row>
    <row r="7" spans="1:30" x14ac:dyDescent="0.25">
      <c r="A7" s="7" t="s">
        <v>6</v>
      </c>
      <c r="B7" s="9">
        <v>10391</v>
      </c>
      <c r="C7" s="9">
        <v>12438</v>
      </c>
      <c r="D7" s="30">
        <v>10355</v>
      </c>
      <c r="E7" s="9">
        <v>8416</v>
      </c>
      <c r="F7" s="9">
        <v>136792</v>
      </c>
      <c r="G7" s="9">
        <v>25101</v>
      </c>
      <c r="H7" s="35">
        <v>91934</v>
      </c>
      <c r="I7" s="42">
        <v>22696</v>
      </c>
      <c r="J7" s="10"/>
      <c r="K7" s="34">
        <v>60734</v>
      </c>
      <c r="L7" s="35">
        <v>22433</v>
      </c>
      <c r="M7" s="42">
        <v>12571</v>
      </c>
      <c r="N7" s="42">
        <v>22110</v>
      </c>
      <c r="O7" s="35">
        <v>26071</v>
      </c>
      <c r="P7" s="33">
        <v>17501</v>
      </c>
      <c r="Q7" s="34">
        <v>21940</v>
      </c>
      <c r="R7" s="32">
        <v>16735</v>
      </c>
      <c r="S7" s="33">
        <v>22001</v>
      </c>
      <c r="V7" s="74" t="s">
        <v>8</v>
      </c>
      <c r="W7" s="91">
        <v>-0.87492654260528901</v>
      </c>
      <c r="X7" s="83">
        <v>1.0773751224289996E-2</v>
      </c>
      <c r="Y7" s="92">
        <v>-0.42801175318315376</v>
      </c>
      <c r="Z7" s="83">
        <v>4.0097943192948087</v>
      </c>
      <c r="AA7" s="92">
        <v>-0.56302644466209595</v>
      </c>
      <c r="AB7" s="93">
        <v>-0.45641527913809987</v>
      </c>
      <c r="AC7" s="83">
        <v>-0.54725759059745349</v>
      </c>
      <c r="AD7" s="92">
        <v>-0.53834476003917731</v>
      </c>
    </row>
    <row r="8" spans="1:30" x14ac:dyDescent="0.25">
      <c r="A8" s="4" t="s">
        <v>7</v>
      </c>
      <c r="B8" s="15">
        <v>365.5</v>
      </c>
      <c r="C8" s="15">
        <v>408.6</v>
      </c>
      <c r="D8" s="13">
        <v>100.2</v>
      </c>
      <c r="E8" s="15">
        <v>51.08</v>
      </c>
      <c r="F8" s="15">
        <v>4384</v>
      </c>
      <c r="G8" s="43">
        <v>414.8</v>
      </c>
      <c r="H8" s="44">
        <v>2676</v>
      </c>
      <c r="I8" s="20">
        <v>233.5</v>
      </c>
      <c r="J8" s="14"/>
      <c r="K8" s="22">
        <v>2047</v>
      </c>
      <c r="L8" s="44">
        <v>1269</v>
      </c>
      <c r="M8" s="20">
        <v>178.5</v>
      </c>
      <c r="N8" s="20">
        <v>437.5</v>
      </c>
      <c r="O8" s="21">
        <v>222.3</v>
      </c>
      <c r="P8" s="29">
        <v>362.6</v>
      </c>
      <c r="Q8" s="22">
        <v>184.9</v>
      </c>
      <c r="R8" s="45">
        <v>349.4</v>
      </c>
      <c r="S8" s="29">
        <v>189.4</v>
      </c>
      <c r="V8" s="68" t="s">
        <v>9</v>
      </c>
      <c r="W8" s="92">
        <v>-0.88230414746543784</v>
      </c>
      <c r="X8" s="95">
        <v>0.70967741935483875</v>
      </c>
      <c r="Y8" s="91">
        <v>6.9124423963133647E-2</v>
      </c>
      <c r="Z8" s="96">
        <v>3.7161290322580642</v>
      </c>
      <c r="AA8" s="91">
        <v>-0.26258064516129026</v>
      </c>
      <c r="AB8" s="97">
        <v>-8.2672811059907828E-2</v>
      </c>
      <c r="AC8" s="96">
        <v>-0.57391705069124432</v>
      </c>
      <c r="AD8" s="91">
        <v>-0.5592626728110599</v>
      </c>
    </row>
    <row r="9" spans="1:30" x14ac:dyDescent="0.25">
      <c r="A9" s="7" t="s">
        <v>8</v>
      </c>
      <c r="B9" s="14"/>
      <c r="C9" s="14">
        <v>204.2</v>
      </c>
      <c r="D9" s="12">
        <v>8.36</v>
      </c>
      <c r="E9" s="14">
        <v>25.54</v>
      </c>
      <c r="F9" s="14">
        <v>143.80000000000001</v>
      </c>
      <c r="G9" s="15">
        <v>206.4</v>
      </c>
      <c r="H9" s="45">
        <v>84.88</v>
      </c>
      <c r="I9" s="29">
        <v>116.8</v>
      </c>
      <c r="J9" s="15"/>
      <c r="K9" s="21">
        <v>1023</v>
      </c>
      <c r="L9" s="45">
        <v>28.16</v>
      </c>
      <c r="M9" s="29">
        <v>89.23</v>
      </c>
      <c r="N9" s="29">
        <v>109</v>
      </c>
      <c r="O9" s="45">
        <v>111</v>
      </c>
      <c r="P9" s="15"/>
      <c r="Q9" s="21">
        <v>92.45</v>
      </c>
      <c r="R9" s="46"/>
      <c r="S9" s="20">
        <v>94.27</v>
      </c>
      <c r="V9" s="68" t="s">
        <v>10</v>
      </c>
      <c r="W9" s="91">
        <v>-0.88230414746543784</v>
      </c>
      <c r="X9" s="83">
        <v>0.68663594470046085</v>
      </c>
      <c r="Y9" s="92">
        <v>6.9124423963133647E-2</v>
      </c>
      <c r="Z9" s="83">
        <v>3.7152073732718898</v>
      </c>
      <c r="AA9" s="92">
        <v>-0.26258064516129026</v>
      </c>
      <c r="AB9" s="93">
        <v>-8.294930875576037E-2</v>
      </c>
      <c r="AC9" s="83">
        <v>-0.57391705069124432</v>
      </c>
      <c r="AD9" s="94">
        <v>-0.55917050691244241</v>
      </c>
    </row>
    <row r="10" spans="1:30" x14ac:dyDescent="0.25">
      <c r="A10" s="4" t="s">
        <v>9</v>
      </c>
      <c r="B10" s="15">
        <v>40.659999999999997</v>
      </c>
      <c r="C10" s="15">
        <v>108.5</v>
      </c>
      <c r="D10" s="13">
        <v>33.46</v>
      </c>
      <c r="E10" s="15">
        <v>12.77</v>
      </c>
      <c r="F10" s="15">
        <v>1518</v>
      </c>
      <c r="G10" s="14">
        <v>185.5</v>
      </c>
      <c r="H10" s="44">
        <v>896.3</v>
      </c>
      <c r="I10" s="20">
        <v>116</v>
      </c>
      <c r="J10" s="14"/>
      <c r="K10" s="22">
        <v>511.7</v>
      </c>
      <c r="L10" s="44">
        <v>424.4</v>
      </c>
      <c r="M10" s="20">
        <v>80.010000000000005</v>
      </c>
      <c r="N10" s="20">
        <v>145.30000000000001</v>
      </c>
      <c r="O10" s="21">
        <v>99.53</v>
      </c>
      <c r="P10" s="29">
        <v>120.7</v>
      </c>
      <c r="Q10" s="22">
        <v>46.23</v>
      </c>
      <c r="R10" s="45">
        <v>38.89</v>
      </c>
      <c r="S10" s="29">
        <v>47.82</v>
      </c>
      <c r="V10" s="73" t="s">
        <v>11</v>
      </c>
      <c r="W10" s="94">
        <v>-0.88352377441946184</v>
      </c>
      <c r="X10" s="95">
        <v>-5.1234795429413955E-2</v>
      </c>
      <c r="Y10" s="91">
        <v>7.1138960560265377E-2</v>
      </c>
      <c r="Z10" s="96">
        <v>3.7143383708072251</v>
      </c>
      <c r="AA10" s="91">
        <v>-0.55952819756726868</v>
      </c>
      <c r="AB10" s="97">
        <v>-0.42793955031330627</v>
      </c>
      <c r="AC10" s="91">
        <v>-0.57427202359012164</v>
      </c>
      <c r="AD10" s="97">
        <v>-0.55952819756726868</v>
      </c>
    </row>
    <row r="11" spans="1:30" x14ac:dyDescent="0.25">
      <c r="A11" s="7" t="s">
        <v>10</v>
      </c>
      <c r="B11" s="14">
        <v>40.659999999999997</v>
      </c>
      <c r="C11" s="14">
        <v>108.5</v>
      </c>
      <c r="D11" s="12">
        <v>33.46</v>
      </c>
      <c r="E11" s="14">
        <v>12.77</v>
      </c>
      <c r="F11" s="14">
        <v>1517</v>
      </c>
      <c r="G11" s="15">
        <v>183</v>
      </c>
      <c r="H11" s="45">
        <v>895.8</v>
      </c>
      <c r="I11" s="29">
        <v>116</v>
      </c>
      <c r="J11" s="15"/>
      <c r="K11" s="21">
        <v>511.6</v>
      </c>
      <c r="L11" s="45">
        <v>424.7</v>
      </c>
      <c r="M11" s="29">
        <v>80.010000000000005</v>
      </c>
      <c r="N11" s="29">
        <v>146.4</v>
      </c>
      <c r="O11" s="45">
        <v>99.5</v>
      </c>
      <c r="P11" s="20">
        <v>120.8</v>
      </c>
      <c r="Q11" s="21">
        <v>46.23</v>
      </c>
      <c r="R11" s="44">
        <v>38.89</v>
      </c>
      <c r="S11" s="20">
        <v>47.83</v>
      </c>
    </row>
    <row r="12" spans="1:30" x14ac:dyDescent="0.25">
      <c r="A12" s="4" t="s">
        <v>11</v>
      </c>
      <c r="B12" s="15">
        <v>11.8</v>
      </c>
      <c r="C12" s="15">
        <v>27.13</v>
      </c>
      <c r="D12" s="13">
        <v>8.3000000000000007</v>
      </c>
      <c r="E12" s="15">
        <v>3.16</v>
      </c>
      <c r="F12" s="15">
        <v>251.3</v>
      </c>
      <c r="G12" s="16">
        <v>25.74</v>
      </c>
      <c r="H12" s="44">
        <v>154.30000000000001</v>
      </c>
      <c r="I12" s="20">
        <v>29.06</v>
      </c>
      <c r="J12" s="14"/>
      <c r="K12" s="22">
        <v>127.9</v>
      </c>
      <c r="L12" s="44">
        <v>65.459999999999994</v>
      </c>
      <c r="M12" s="20">
        <v>11.95</v>
      </c>
      <c r="N12" s="20">
        <v>17.059999999999999</v>
      </c>
      <c r="O12" s="21">
        <v>15.52</v>
      </c>
      <c r="P12" s="29">
        <v>12.64</v>
      </c>
      <c r="Q12" s="22">
        <v>11.55</v>
      </c>
      <c r="R12" s="45">
        <v>11.29</v>
      </c>
      <c r="S12" s="29">
        <v>11.95</v>
      </c>
    </row>
    <row r="13" spans="1:30" x14ac:dyDescent="0.25">
      <c r="A13" s="7" t="s">
        <v>12</v>
      </c>
      <c r="B13" s="19">
        <v>826.2</v>
      </c>
      <c r="C13" s="19">
        <v>14999</v>
      </c>
      <c r="D13" s="47">
        <v>326.8</v>
      </c>
      <c r="E13" s="19">
        <v>3412</v>
      </c>
      <c r="F13" s="17">
        <v>12229</v>
      </c>
      <c r="G13" s="17">
        <v>14395</v>
      </c>
      <c r="H13" s="23">
        <v>7214</v>
      </c>
      <c r="I13" s="26">
        <v>14257</v>
      </c>
      <c r="J13" s="17"/>
      <c r="K13" s="48">
        <v>72564</v>
      </c>
      <c r="L13" s="23">
        <v>2925</v>
      </c>
      <c r="M13" s="26">
        <v>6817</v>
      </c>
      <c r="N13" s="26">
        <v>1216</v>
      </c>
      <c r="O13" s="23">
        <v>8844</v>
      </c>
      <c r="P13" s="25">
        <v>991</v>
      </c>
      <c r="Q13" s="48">
        <v>6563</v>
      </c>
      <c r="R13" s="27">
        <v>791.3</v>
      </c>
      <c r="S13" s="25">
        <v>6788</v>
      </c>
    </row>
    <row r="14" spans="1:30" x14ac:dyDescent="0.25">
      <c r="A14" s="4" t="s">
        <v>13</v>
      </c>
      <c r="B14" s="17">
        <v>2315</v>
      </c>
      <c r="C14" s="17">
        <v>3665</v>
      </c>
      <c r="D14" s="49">
        <v>465.3</v>
      </c>
      <c r="E14" s="17">
        <v>808.3</v>
      </c>
      <c r="F14" s="18">
        <v>35648</v>
      </c>
      <c r="G14" s="18">
        <v>3593</v>
      </c>
      <c r="H14" s="27">
        <v>19313</v>
      </c>
      <c r="I14" s="24">
        <v>2659</v>
      </c>
      <c r="J14" s="19"/>
      <c r="K14" s="50">
        <v>16355</v>
      </c>
      <c r="L14" s="27">
        <v>7167</v>
      </c>
      <c r="M14" s="25">
        <v>1712</v>
      </c>
      <c r="N14" s="25">
        <v>4134</v>
      </c>
      <c r="O14" s="48">
        <v>1924</v>
      </c>
      <c r="P14" s="26">
        <v>2564</v>
      </c>
      <c r="Q14" s="50">
        <v>1566</v>
      </c>
      <c r="R14" s="23">
        <v>2214</v>
      </c>
      <c r="S14" s="26">
        <v>1403</v>
      </c>
    </row>
    <row r="15" spans="1:30" x14ac:dyDescent="0.25">
      <c r="A15" s="4" t="s">
        <v>14</v>
      </c>
      <c r="B15" s="17">
        <v>79.77</v>
      </c>
      <c r="C15" s="17">
        <v>122.9</v>
      </c>
      <c r="D15" s="49">
        <v>19.399999999999999</v>
      </c>
      <c r="E15" s="17">
        <v>13.14</v>
      </c>
      <c r="F15" s="17">
        <v>877.4</v>
      </c>
      <c r="G15" s="17">
        <v>135.30000000000001</v>
      </c>
      <c r="H15" s="23">
        <v>519.5</v>
      </c>
      <c r="I15" s="25">
        <v>96.67</v>
      </c>
      <c r="J15" s="17"/>
      <c r="K15" s="48">
        <v>629</v>
      </c>
      <c r="L15" s="23">
        <v>223.7</v>
      </c>
      <c r="M15" s="28">
        <v>59.26</v>
      </c>
      <c r="N15" s="26">
        <v>116.8</v>
      </c>
      <c r="O15" s="23">
        <v>64.819999999999993</v>
      </c>
      <c r="P15" s="25">
        <v>79.38</v>
      </c>
      <c r="Q15" s="48">
        <v>49.65</v>
      </c>
      <c r="R15" s="27">
        <v>73.75</v>
      </c>
      <c r="S15" s="25">
        <v>50.13</v>
      </c>
    </row>
    <row r="16" spans="1:30" x14ac:dyDescent="0.25">
      <c r="A16" s="8" t="s">
        <v>17</v>
      </c>
      <c r="B16" s="18"/>
      <c r="C16" s="18">
        <v>68.23</v>
      </c>
      <c r="D16" s="51">
        <v>2.75</v>
      </c>
      <c r="E16" s="18">
        <v>6.6</v>
      </c>
      <c r="F16" s="18">
        <v>45.77</v>
      </c>
      <c r="G16" s="18">
        <v>74.91</v>
      </c>
      <c r="H16" s="27">
        <v>29.96</v>
      </c>
      <c r="I16" s="28">
        <v>51.23</v>
      </c>
      <c r="J16" s="18"/>
      <c r="K16" s="52">
        <v>295.7</v>
      </c>
      <c r="L16" s="25">
        <v>9.2899999999999991</v>
      </c>
      <c r="M16" s="28">
        <v>31.92</v>
      </c>
      <c r="N16" s="25">
        <v>33.83</v>
      </c>
      <c r="O16" s="48">
        <v>33.44</v>
      </c>
      <c r="P16" s="18"/>
      <c r="Q16" s="52">
        <v>24.04</v>
      </c>
      <c r="R16" s="18"/>
      <c r="S16" s="28">
        <v>23.05</v>
      </c>
    </row>
    <row r="17" spans="1:13" x14ac:dyDescent="0.25">
      <c r="K17" s="2"/>
      <c r="L17" s="1"/>
      <c r="M17" s="1"/>
    </row>
    <row r="18" spans="1:13" x14ac:dyDescent="0.25">
      <c r="K18" s="3"/>
    </row>
    <row r="19" spans="1:13" x14ac:dyDescent="0.25">
      <c r="A19" s="5"/>
      <c r="B19" s="66" t="s">
        <v>2</v>
      </c>
      <c r="C19" s="66" t="s">
        <v>21</v>
      </c>
      <c r="D19" s="71" t="s">
        <v>56</v>
      </c>
      <c r="E19" s="66" t="s">
        <v>3</v>
      </c>
      <c r="F19" s="66" t="s">
        <v>4</v>
      </c>
      <c r="G19" s="65" t="s">
        <v>35</v>
      </c>
      <c r="H19" s="86" t="s">
        <v>46</v>
      </c>
      <c r="I19" s="65" t="s">
        <v>37</v>
      </c>
      <c r="J19" s="65" t="s">
        <v>51</v>
      </c>
    </row>
    <row r="20" spans="1:13" x14ac:dyDescent="0.25">
      <c r="A20" s="7" t="s">
        <v>0</v>
      </c>
      <c r="B20" s="9">
        <v>12244</v>
      </c>
      <c r="C20" s="87">
        <f>(E5-B20)/B20</f>
        <v>-0.20687683763475989</v>
      </c>
      <c r="D20" s="88">
        <f>(G5-B20)/B20</f>
        <v>1.4139170205815093</v>
      </c>
      <c r="E20" s="88">
        <f>(I5-B20)/B20</f>
        <v>0.97492649460960468</v>
      </c>
      <c r="F20" s="88">
        <f>(K5-B20)/B20</f>
        <v>4.2809539366220193</v>
      </c>
      <c r="G20" s="88">
        <f>(M5-B20)/B20</f>
        <v>3.7569421757595559E-3</v>
      </c>
      <c r="H20" s="89">
        <f>(O5-B20)/B20</f>
        <v>1.1467657628226069</v>
      </c>
      <c r="I20" s="88">
        <f>(Q5-B20)/B20</f>
        <v>0.7293368180333224</v>
      </c>
      <c r="J20" s="88">
        <f>(S5-B20)/B20</f>
        <v>0.7063868016987912</v>
      </c>
    </row>
    <row r="21" spans="1:13" x14ac:dyDescent="0.25">
      <c r="A21" s="4" t="s">
        <v>5</v>
      </c>
      <c r="B21" s="10">
        <v>12628</v>
      </c>
      <c r="C21" s="87">
        <f t="shared" ref="C21:C27" si="0">(E6-B21)/B21</f>
        <v>-0.42706683560342096</v>
      </c>
      <c r="D21" s="88">
        <f t="shared" ref="D21:D27" si="1">(G6-B21)/B21</f>
        <v>1.4451219512195121</v>
      </c>
      <c r="E21" s="88">
        <f t="shared" ref="E21:E27" si="2">(I6-B21)/B21</f>
        <v>0.86601203674374405</v>
      </c>
      <c r="F21" s="88">
        <f t="shared" ref="F21:F27" si="3">(K6-B21)/B21</f>
        <v>2.7789040228064619</v>
      </c>
      <c r="G21" s="88">
        <f t="shared" ref="G21:G27" si="4">(M6-B21)/B21</f>
        <v>-3.7060500475134622E-2</v>
      </c>
      <c r="H21" s="89">
        <f t="shared" ref="H21:H27" si="5">(O6-B21)/B21</f>
        <v>1.2056541019955653</v>
      </c>
      <c r="I21" s="88">
        <f t="shared" ref="I21:I27" si="6">(Q6-B21)/B21</f>
        <v>0.90719037060500474</v>
      </c>
      <c r="J21" s="88">
        <f t="shared" ref="J21:J27" si="7">(S6-B21)/B21</f>
        <v>0.91305036426987651</v>
      </c>
    </row>
    <row r="22" spans="1:13" x14ac:dyDescent="0.25">
      <c r="A22" s="7" t="s">
        <v>6</v>
      </c>
      <c r="B22" s="9">
        <v>12438</v>
      </c>
      <c r="C22" s="87">
        <f t="shared" si="0"/>
        <v>-0.32336388486895001</v>
      </c>
      <c r="D22" s="88">
        <f t="shared" si="1"/>
        <v>1.0180897250361796</v>
      </c>
      <c r="E22" s="88">
        <f t="shared" si="2"/>
        <v>0.82473066409390572</v>
      </c>
      <c r="F22" s="88">
        <f t="shared" si="3"/>
        <v>3.8829393793214342</v>
      </c>
      <c r="G22" s="88">
        <f t="shared" si="4"/>
        <v>1.0693037465830519E-2</v>
      </c>
      <c r="H22" s="89">
        <f t="shared" si="5"/>
        <v>1.0960765396365975</v>
      </c>
      <c r="I22" s="88">
        <f t="shared" si="6"/>
        <v>0.76394918797234279</v>
      </c>
      <c r="J22" s="88">
        <f t="shared" si="7"/>
        <v>0.76885351342659591</v>
      </c>
    </row>
    <row r="23" spans="1:13" x14ac:dyDescent="0.25">
      <c r="A23" s="4" t="s">
        <v>7</v>
      </c>
      <c r="B23" s="10">
        <v>408.6</v>
      </c>
      <c r="C23" s="87">
        <f t="shared" si="0"/>
        <v>-0.87498776309349002</v>
      </c>
      <c r="D23" s="88">
        <f t="shared" si="1"/>
        <v>1.5173764072442458E-2</v>
      </c>
      <c r="E23" s="88">
        <f t="shared" si="2"/>
        <v>-0.42853646598139994</v>
      </c>
      <c r="F23" s="88">
        <f t="shared" si="3"/>
        <v>4.0097895252080278</v>
      </c>
      <c r="G23" s="88">
        <f t="shared" si="4"/>
        <v>-0.56314243759177685</v>
      </c>
      <c r="H23" s="89">
        <f t="shared" si="5"/>
        <v>-0.45594713656387664</v>
      </c>
      <c r="I23" s="88">
        <f t="shared" si="6"/>
        <v>-0.5474791972589329</v>
      </c>
      <c r="J23" s="88">
        <f t="shared" si="7"/>
        <v>-0.53646598139990209</v>
      </c>
    </row>
    <row r="24" spans="1:13" x14ac:dyDescent="0.25">
      <c r="A24" s="7" t="s">
        <v>8</v>
      </c>
      <c r="B24" s="9">
        <v>204.2</v>
      </c>
      <c r="C24" s="87">
        <f t="shared" si="0"/>
        <v>-0.87492654260528901</v>
      </c>
      <c r="D24" s="88">
        <f t="shared" si="1"/>
        <v>1.0773751224289996E-2</v>
      </c>
      <c r="E24" s="88">
        <f t="shared" si="2"/>
        <v>-0.42801175318315376</v>
      </c>
      <c r="F24" s="88">
        <f t="shared" si="3"/>
        <v>4.0097943192948087</v>
      </c>
      <c r="G24" s="88">
        <f t="shared" si="4"/>
        <v>-0.56302644466209595</v>
      </c>
      <c r="H24" s="89">
        <f t="shared" si="5"/>
        <v>-0.45641527913809987</v>
      </c>
      <c r="I24" s="88">
        <f t="shared" si="6"/>
        <v>-0.54725759059745349</v>
      </c>
      <c r="J24" s="88">
        <f t="shared" si="7"/>
        <v>-0.53834476003917731</v>
      </c>
    </row>
    <row r="25" spans="1:13" x14ac:dyDescent="0.25">
      <c r="A25" s="4" t="s">
        <v>9</v>
      </c>
      <c r="B25" s="10">
        <v>108.5</v>
      </c>
      <c r="C25" s="87">
        <f t="shared" si="0"/>
        <v>-0.88230414746543784</v>
      </c>
      <c r="D25" s="88">
        <f t="shared" si="1"/>
        <v>0.70967741935483875</v>
      </c>
      <c r="E25" s="88">
        <f t="shared" si="2"/>
        <v>6.9124423963133647E-2</v>
      </c>
      <c r="F25" s="88">
        <f t="shared" si="3"/>
        <v>3.7161290322580642</v>
      </c>
      <c r="G25" s="88">
        <f t="shared" si="4"/>
        <v>-0.26258064516129026</v>
      </c>
      <c r="H25" s="89">
        <f t="shared" si="5"/>
        <v>-8.2672811059907828E-2</v>
      </c>
      <c r="I25" s="88">
        <f t="shared" si="6"/>
        <v>-0.57391705069124432</v>
      </c>
      <c r="J25" s="88">
        <f t="shared" si="7"/>
        <v>-0.5592626728110599</v>
      </c>
    </row>
    <row r="26" spans="1:13" x14ac:dyDescent="0.25">
      <c r="A26" s="7" t="s">
        <v>10</v>
      </c>
      <c r="B26" s="9">
        <v>108.5</v>
      </c>
      <c r="C26" s="87">
        <f t="shared" si="0"/>
        <v>-0.88230414746543784</v>
      </c>
      <c r="D26" s="88">
        <f t="shared" si="1"/>
        <v>0.68663594470046085</v>
      </c>
      <c r="E26" s="88">
        <f t="shared" si="2"/>
        <v>6.9124423963133647E-2</v>
      </c>
      <c r="F26" s="88">
        <f t="shared" si="3"/>
        <v>3.7152073732718898</v>
      </c>
      <c r="G26" s="88">
        <f t="shared" si="4"/>
        <v>-0.26258064516129026</v>
      </c>
      <c r="H26" s="89">
        <f t="shared" si="5"/>
        <v>-8.294930875576037E-2</v>
      </c>
      <c r="I26" s="88">
        <f t="shared" si="6"/>
        <v>-0.57391705069124432</v>
      </c>
      <c r="J26" s="88">
        <f t="shared" si="7"/>
        <v>-0.55917050691244241</v>
      </c>
    </row>
    <row r="27" spans="1:13" x14ac:dyDescent="0.25">
      <c r="A27" s="4" t="s">
        <v>11</v>
      </c>
      <c r="B27" s="10">
        <v>27.13</v>
      </c>
      <c r="C27" s="88">
        <f t="shared" si="0"/>
        <v>-0.88352377441946184</v>
      </c>
      <c r="D27" s="88">
        <f t="shared" si="1"/>
        <v>-5.1234795429413955E-2</v>
      </c>
      <c r="E27" s="88">
        <f t="shared" si="2"/>
        <v>7.1138960560265377E-2</v>
      </c>
      <c r="F27" s="88">
        <f t="shared" si="3"/>
        <v>3.7143383708072251</v>
      </c>
      <c r="G27" s="88">
        <f t="shared" si="4"/>
        <v>-0.55952819756726868</v>
      </c>
      <c r="H27" s="89">
        <f t="shared" si="5"/>
        <v>-0.42793955031330627</v>
      </c>
      <c r="I27" s="88">
        <f t="shared" si="6"/>
        <v>-0.57427202359012164</v>
      </c>
      <c r="J27" s="88">
        <f t="shared" si="7"/>
        <v>-0.55952819756726868</v>
      </c>
    </row>
  </sheetData>
  <mergeCells count="9">
    <mergeCell ref="R2:S2"/>
    <mergeCell ref="N2:O2"/>
    <mergeCell ref="P2:Q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6D28-E05D-4B80-83C4-99B155912C9C}">
  <dimension ref="B2:M15"/>
  <sheetViews>
    <sheetView tabSelected="1" zoomScale="115" zoomScaleNormal="115" workbookViewId="0">
      <selection activeCell="B6" sqref="B6"/>
    </sheetView>
  </sheetViews>
  <sheetFormatPr defaultRowHeight="15" x14ac:dyDescent="0.25"/>
  <cols>
    <col min="1" max="1" width="46.42578125" customWidth="1"/>
    <col min="2" max="2" width="71.85546875" customWidth="1"/>
    <col min="3" max="3" width="84.7109375" customWidth="1"/>
    <col min="4" max="4" width="66" customWidth="1"/>
    <col min="5" max="5" width="76.42578125" customWidth="1"/>
    <col min="6" max="6" width="73.85546875" customWidth="1"/>
    <col min="7" max="7" width="40.28515625" customWidth="1"/>
    <col min="8" max="8" width="49.42578125" customWidth="1"/>
    <col min="9" max="9" width="36.28515625" customWidth="1"/>
    <col min="10" max="10" width="132.140625" customWidth="1"/>
    <col min="11" max="11" width="70" customWidth="1"/>
    <col min="12" max="12" width="67" customWidth="1"/>
    <col min="13" max="13" width="84.42578125" customWidth="1"/>
  </cols>
  <sheetData>
    <row r="2" spans="2:13" x14ac:dyDescent="0.25">
      <c r="K2" s="67"/>
      <c r="L2" s="67"/>
    </row>
    <row r="3" spans="2:13" x14ac:dyDescent="0.25">
      <c r="B3" s="5"/>
      <c r="C3" s="66" t="s">
        <v>2</v>
      </c>
      <c r="D3" s="71" t="s">
        <v>21</v>
      </c>
      <c r="E3" s="71" t="s">
        <v>56</v>
      </c>
      <c r="F3" s="71" t="s">
        <v>3</v>
      </c>
      <c r="G3" s="71" t="s">
        <v>4</v>
      </c>
      <c r="I3" s="83">
        <f>K14</f>
        <v>0.46420960260749661</v>
      </c>
      <c r="J3" s="83">
        <f>L14</f>
        <v>-4.8890560361038058E-3</v>
      </c>
      <c r="K3" s="83">
        <f>M14</f>
        <v>-7.5466967531653453E-2</v>
      </c>
    </row>
    <row r="4" spans="2:13" x14ac:dyDescent="0.25">
      <c r="B4" s="6"/>
      <c r="C4" s="10" t="s">
        <v>57</v>
      </c>
      <c r="D4" s="37" t="s">
        <v>58</v>
      </c>
      <c r="E4" s="10" t="s">
        <v>59</v>
      </c>
      <c r="F4" s="39" t="s">
        <v>60</v>
      </c>
      <c r="G4" s="10" t="s">
        <v>33</v>
      </c>
      <c r="I4" s="83" t="str">
        <f>K15</f>
        <v>не може да се определи</v>
      </c>
      <c r="J4" s="83" t="str">
        <f>L15</f>
        <v>не може да се определи</v>
      </c>
      <c r="K4" s="83" t="str">
        <f>M15</f>
        <v>не може да се определи</v>
      </c>
    </row>
    <row r="5" spans="2:13" x14ac:dyDescent="0.25">
      <c r="B5" s="4" t="s">
        <v>14</v>
      </c>
      <c r="C5" s="17">
        <v>79.77</v>
      </c>
      <c r="D5" s="49">
        <v>19.399999999999999</v>
      </c>
      <c r="E5" s="17">
        <v>877.4</v>
      </c>
      <c r="F5" s="23">
        <v>519.5</v>
      </c>
      <c r="G5" s="17"/>
      <c r="H5" s="74"/>
    </row>
    <row r="6" spans="2:13" x14ac:dyDescent="0.25">
      <c r="B6" s="8" t="s">
        <v>17</v>
      </c>
      <c r="C6" s="18"/>
      <c r="D6" s="51">
        <v>2.75</v>
      </c>
      <c r="E6" s="18">
        <v>45.77</v>
      </c>
      <c r="F6" s="27">
        <v>29.96</v>
      </c>
      <c r="G6" s="18"/>
    </row>
    <row r="7" spans="2:13" x14ac:dyDescent="0.25">
      <c r="D7" s="1" t="s">
        <v>21</v>
      </c>
      <c r="E7" s="1" t="s">
        <v>56</v>
      </c>
      <c r="F7" s="1" t="s">
        <v>3</v>
      </c>
      <c r="G7" s="1" t="s">
        <v>4</v>
      </c>
      <c r="H7" s="1" t="s">
        <v>35</v>
      </c>
      <c r="I7" s="1" t="s">
        <v>46</v>
      </c>
      <c r="J7" s="1" t="s">
        <v>37</v>
      </c>
      <c r="K7" s="1" t="s">
        <v>51</v>
      </c>
    </row>
    <row r="8" spans="2:13" x14ac:dyDescent="0.25">
      <c r="C8" s="4" t="s">
        <v>14</v>
      </c>
      <c r="D8" s="82">
        <f>(D5-C5)/C5</f>
        <v>-0.7568008023066316</v>
      </c>
      <c r="E8" s="82">
        <f>(E5-C5)/C5</f>
        <v>9.9991224771217251</v>
      </c>
      <c r="F8" s="82">
        <f>(F5-C5)/C5</f>
        <v>5.5124733609126242</v>
      </c>
      <c r="G8" s="81" t="s">
        <v>74</v>
      </c>
      <c r="H8" s="83">
        <f>J14</f>
        <v>1.804312398144666</v>
      </c>
      <c r="I8" s="83">
        <f>$K$14</f>
        <v>0.46420960260749661</v>
      </c>
      <c r="J8" s="83">
        <f>$L$14</f>
        <v>-4.8890560361038058E-3</v>
      </c>
      <c r="K8" s="99">
        <f>$M$14</f>
        <v>-7.5466967531653453E-2</v>
      </c>
      <c r="L8" s="67"/>
    </row>
    <row r="9" spans="2:13" x14ac:dyDescent="0.25">
      <c r="C9" s="8" t="s">
        <v>17</v>
      </c>
      <c r="D9" s="81" t="s">
        <v>74</v>
      </c>
      <c r="E9" s="81" t="s">
        <v>74</v>
      </c>
      <c r="F9" s="81" t="s">
        <v>74</v>
      </c>
      <c r="G9" s="81" t="s">
        <v>74</v>
      </c>
      <c r="H9" s="83" t="str">
        <f>J15</f>
        <v>не може да се определи</v>
      </c>
      <c r="I9" s="5"/>
      <c r="J9" s="53" t="s">
        <v>35</v>
      </c>
      <c r="K9" s="54" t="s">
        <v>46</v>
      </c>
      <c r="L9" s="4" t="s">
        <v>37</v>
      </c>
      <c r="M9" s="4" t="s">
        <v>51</v>
      </c>
    </row>
    <row r="10" spans="2:13" x14ac:dyDescent="0.25">
      <c r="I10" s="75"/>
      <c r="J10" s="34" t="s">
        <v>64</v>
      </c>
      <c r="K10" s="33" t="s">
        <v>61</v>
      </c>
      <c r="L10" s="42" t="s">
        <v>62</v>
      </c>
      <c r="M10" s="42" t="s">
        <v>63</v>
      </c>
    </row>
    <row r="11" spans="2:13" x14ac:dyDescent="0.25">
      <c r="I11" s="4" t="s">
        <v>14</v>
      </c>
      <c r="J11" s="23">
        <v>223.7</v>
      </c>
      <c r="K11" s="26">
        <v>116.8</v>
      </c>
      <c r="L11" s="25">
        <v>79.38</v>
      </c>
      <c r="M11" s="25">
        <v>73.75</v>
      </c>
    </row>
    <row r="12" spans="2:13" x14ac:dyDescent="0.25">
      <c r="G12" s="80">
        <f>(E5-F5)/F5</f>
        <v>0.68893166506256009</v>
      </c>
      <c r="I12" s="8" t="s">
        <v>17</v>
      </c>
      <c r="J12" s="48">
        <v>9.2899999999999991</v>
      </c>
      <c r="K12" s="25">
        <v>33.83</v>
      </c>
      <c r="L12" s="18"/>
      <c r="M12" s="18"/>
    </row>
    <row r="13" spans="2:13" x14ac:dyDescent="0.25">
      <c r="G13" s="80">
        <f>(E6-F6)/F6</f>
        <v>0.52770360480640865</v>
      </c>
    </row>
    <row r="14" spans="2:13" x14ac:dyDescent="0.25">
      <c r="I14" s="4" t="s">
        <v>14</v>
      </c>
      <c r="J14" s="83">
        <f>(J11-C5)/C5</f>
        <v>1.804312398144666</v>
      </c>
      <c r="K14" s="83">
        <f>(K11-C5)/C5</f>
        <v>0.46420960260749661</v>
      </c>
      <c r="L14" s="83">
        <f>(L11-C5)/C5</f>
        <v>-4.8890560361038058E-3</v>
      </c>
      <c r="M14" s="83">
        <f>(M11-C5)/C5</f>
        <v>-7.5466967531653453E-2</v>
      </c>
    </row>
    <row r="15" spans="2:13" x14ac:dyDescent="0.25">
      <c r="H15" s="72"/>
      <c r="I15" s="8" t="s">
        <v>17</v>
      </c>
      <c r="J15" s="1" t="s">
        <v>74</v>
      </c>
      <c r="K15" s="84" t="s">
        <v>74</v>
      </c>
      <c r="L15" s="1" t="s">
        <v>74</v>
      </c>
      <c r="M15" s="1" t="s">
        <v>74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F401-2913-42AD-BE7F-43E36EDB41C0}">
  <dimension ref="A1:G14"/>
  <sheetViews>
    <sheetView topLeftCell="D13" zoomScaleNormal="100" workbookViewId="0">
      <selection activeCell="E45" sqref="E45"/>
    </sheetView>
  </sheetViews>
  <sheetFormatPr defaultRowHeight="15" x14ac:dyDescent="0.25"/>
  <cols>
    <col min="2" max="2" width="31.7109375" customWidth="1"/>
    <col min="3" max="3" width="54.5703125" customWidth="1"/>
    <col min="4" max="4" width="48" customWidth="1"/>
    <col min="5" max="5" width="53.85546875" customWidth="1"/>
    <col min="6" max="6" width="59.7109375" customWidth="1"/>
    <col min="7" max="7" width="63.85546875" customWidth="1"/>
  </cols>
  <sheetData>
    <row r="1" spans="1:7" x14ac:dyDescent="0.25">
      <c r="A1" s="72"/>
      <c r="B1" s="73"/>
      <c r="C1" s="78" t="s">
        <v>2</v>
      </c>
      <c r="D1" s="78" t="s">
        <v>21</v>
      </c>
      <c r="E1" s="78" t="s">
        <v>56</v>
      </c>
      <c r="F1" s="78" t="s">
        <v>3</v>
      </c>
      <c r="G1" s="78" t="s">
        <v>4</v>
      </c>
    </row>
    <row r="2" spans="1:7" x14ac:dyDescent="0.25">
      <c r="B2" s="6"/>
      <c r="C2" s="10" t="s">
        <v>69</v>
      </c>
      <c r="D2" s="79" t="s">
        <v>70</v>
      </c>
      <c r="E2" s="11" t="s">
        <v>71</v>
      </c>
      <c r="F2" s="40" t="s">
        <v>72</v>
      </c>
      <c r="G2" s="41" t="s">
        <v>73</v>
      </c>
    </row>
    <row r="3" spans="1:7" x14ac:dyDescent="0.25">
      <c r="B3" s="7" t="s">
        <v>0</v>
      </c>
      <c r="C3" s="9">
        <v>12244</v>
      </c>
      <c r="D3" s="9">
        <v>9711</v>
      </c>
      <c r="E3" s="9">
        <v>29556</v>
      </c>
      <c r="F3" s="42">
        <v>24181</v>
      </c>
      <c r="G3" s="34">
        <v>64660</v>
      </c>
    </row>
    <row r="4" spans="1:7" x14ac:dyDescent="0.25">
      <c r="B4" s="4" t="s">
        <v>5</v>
      </c>
      <c r="C4" s="10">
        <v>12628</v>
      </c>
      <c r="D4" s="10">
        <v>7235</v>
      </c>
      <c r="E4" s="10">
        <v>30877</v>
      </c>
      <c r="F4" s="33">
        <v>23564</v>
      </c>
      <c r="G4" s="41">
        <v>47720</v>
      </c>
    </row>
    <row r="5" spans="1:7" x14ac:dyDescent="0.25">
      <c r="B5" s="7" t="s">
        <v>6</v>
      </c>
      <c r="C5" s="9">
        <v>12438</v>
      </c>
      <c r="D5" s="9">
        <v>8416</v>
      </c>
      <c r="E5" s="9">
        <v>25101</v>
      </c>
      <c r="F5" s="42">
        <v>22696</v>
      </c>
      <c r="G5" s="34">
        <v>60734</v>
      </c>
    </row>
    <row r="6" spans="1:7" x14ac:dyDescent="0.25">
      <c r="B6" s="4" t="s">
        <v>7</v>
      </c>
      <c r="C6" s="15">
        <v>408.6</v>
      </c>
      <c r="D6" s="15">
        <v>51.08</v>
      </c>
      <c r="E6" s="43">
        <v>414.8</v>
      </c>
      <c r="F6" s="20">
        <v>233.5</v>
      </c>
      <c r="G6" s="22">
        <v>2047</v>
      </c>
    </row>
    <row r="7" spans="1:7" x14ac:dyDescent="0.25">
      <c r="B7" s="7" t="s">
        <v>8</v>
      </c>
      <c r="C7" s="14">
        <v>204.2</v>
      </c>
      <c r="D7" s="14">
        <v>25.54</v>
      </c>
      <c r="E7" s="15">
        <v>206.4</v>
      </c>
      <c r="F7" s="29">
        <v>116.8</v>
      </c>
      <c r="G7" s="21">
        <v>1023</v>
      </c>
    </row>
    <row r="8" spans="1:7" x14ac:dyDescent="0.25">
      <c r="B8" s="4" t="s">
        <v>9</v>
      </c>
      <c r="C8" s="15">
        <v>108.5</v>
      </c>
      <c r="D8" s="15">
        <v>12.77</v>
      </c>
      <c r="E8" s="14">
        <v>185.5</v>
      </c>
      <c r="F8" s="20">
        <v>116</v>
      </c>
      <c r="G8" s="22">
        <v>511.7</v>
      </c>
    </row>
    <row r="9" spans="1:7" x14ac:dyDescent="0.25">
      <c r="B9" s="7" t="s">
        <v>10</v>
      </c>
      <c r="C9" s="14">
        <v>108.5</v>
      </c>
      <c r="D9" s="14">
        <v>12.77</v>
      </c>
      <c r="E9" s="15">
        <v>183</v>
      </c>
      <c r="F9" s="29">
        <v>116</v>
      </c>
      <c r="G9" s="21">
        <v>511.6</v>
      </c>
    </row>
    <row r="10" spans="1:7" x14ac:dyDescent="0.25">
      <c r="B10" s="4" t="s">
        <v>11</v>
      </c>
      <c r="C10" s="15">
        <v>27.13</v>
      </c>
      <c r="D10" s="15">
        <v>3.16</v>
      </c>
      <c r="E10" s="16">
        <v>25.74</v>
      </c>
      <c r="F10" s="20">
        <v>29.06</v>
      </c>
      <c r="G10" s="22">
        <v>127.9</v>
      </c>
    </row>
    <row r="11" spans="1:7" x14ac:dyDescent="0.25">
      <c r="B11" s="7" t="s">
        <v>12</v>
      </c>
      <c r="C11" s="19">
        <v>14999</v>
      </c>
      <c r="D11" s="19">
        <v>3412</v>
      </c>
      <c r="E11" s="17">
        <v>14395</v>
      </c>
      <c r="F11" s="26">
        <v>14257</v>
      </c>
      <c r="G11" s="48">
        <v>72564</v>
      </c>
    </row>
    <row r="12" spans="1:7" x14ac:dyDescent="0.25">
      <c r="B12" s="4" t="s">
        <v>13</v>
      </c>
      <c r="C12" s="17">
        <v>3665</v>
      </c>
      <c r="D12" s="17">
        <v>808.3</v>
      </c>
      <c r="E12" s="18">
        <v>3593</v>
      </c>
      <c r="F12" s="24">
        <v>2659</v>
      </c>
      <c r="G12" s="50">
        <v>16355</v>
      </c>
    </row>
    <row r="13" spans="1:7" x14ac:dyDescent="0.25">
      <c r="B13" s="4" t="s">
        <v>14</v>
      </c>
      <c r="C13" s="17">
        <v>122.9</v>
      </c>
      <c r="D13" s="17">
        <v>13.14</v>
      </c>
      <c r="E13" s="17">
        <v>135.30000000000001</v>
      </c>
      <c r="F13" s="25">
        <v>96.67</v>
      </c>
      <c r="G13" s="48">
        <v>629</v>
      </c>
    </row>
    <row r="14" spans="1:7" x14ac:dyDescent="0.25">
      <c r="B14" s="8" t="s">
        <v>17</v>
      </c>
      <c r="C14" s="18">
        <v>68.23</v>
      </c>
      <c r="D14" s="18">
        <v>6.6</v>
      </c>
      <c r="E14" s="18">
        <v>74.91</v>
      </c>
      <c r="F14" s="28">
        <v>51.23</v>
      </c>
      <c r="G14" s="52">
        <v>295.7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0861-5EDF-4038-B5ED-D6F117C879B3}">
  <dimension ref="A1:E14"/>
  <sheetViews>
    <sheetView topLeftCell="A5" zoomScale="85" zoomScaleNormal="85" workbookViewId="0">
      <selection activeCell="A10" sqref="A10"/>
    </sheetView>
  </sheetViews>
  <sheetFormatPr defaultRowHeight="15" x14ac:dyDescent="0.25"/>
  <cols>
    <col min="1" max="1" width="33.42578125" customWidth="1"/>
    <col min="2" max="2" width="54" customWidth="1"/>
    <col min="3" max="3" width="57.140625" customWidth="1"/>
    <col min="4" max="4" width="58.7109375" customWidth="1"/>
    <col min="5" max="5" width="56.42578125" customWidth="1"/>
  </cols>
  <sheetData>
    <row r="1" spans="1:5" x14ac:dyDescent="0.25">
      <c r="A1" s="76"/>
      <c r="B1" s="1" t="s">
        <v>35</v>
      </c>
      <c r="C1" s="77" t="s">
        <v>46</v>
      </c>
      <c r="D1" s="69" t="s">
        <v>37</v>
      </c>
      <c r="E1" s="70" t="s">
        <v>51</v>
      </c>
    </row>
    <row r="2" spans="1:5" x14ac:dyDescent="0.25">
      <c r="A2" s="6"/>
      <c r="B2" s="33" t="s">
        <v>65</v>
      </c>
      <c r="C2" s="34" t="s">
        <v>66</v>
      </c>
      <c r="D2" s="41" t="s">
        <v>67</v>
      </c>
      <c r="E2" s="42" t="s">
        <v>68</v>
      </c>
    </row>
    <row r="3" spans="1:5" x14ac:dyDescent="0.25">
      <c r="A3" s="7" t="s">
        <v>0</v>
      </c>
      <c r="B3" s="42">
        <v>12290</v>
      </c>
      <c r="C3" s="36">
        <v>26285</v>
      </c>
      <c r="D3" s="34">
        <v>21174</v>
      </c>
      <c r="E3" s="33">
        <v>20893</v>
      </c>
    </row>
    <row r="4" spans="1:5" x14ac:dyDescent="0.25">
      <c r="A4" s="4" t="s">
        <v>5</v>
      </c>
      <c r="B4" s="33">
        <v>12160</v>
      </c>
      <c r="C4" s="33">
        <v>27853</v>
      </c>
      <c r="D4" s="41">
        <v>24084</v>
      </c>
      <c r="E4" s="42">
        <v>24158</v>
      </c>
    </row>
    <row r="5" spans="1:5" x14ac:dyDescent="0.25">
      <c r="A5" s="7" t="s">
        <v>6</v>
      </c>
      <c r="B5" s="42">
        <v>12571</v>
      </c>
      <c r="C5" s="42">
        <v>26071</v>
      </c>
      <c r="D5" s="34">
        <v>21940</v>
      </c>
      <c r="E5" s="33">
        <v>22001</v>
      </c>
    </row>
    <row r="6" spans="1:5" x14ac:dyDescent="0.25">
      <c r="A6" s="4" t="s">
        <v>7</v>
      </c>
      <c r="B6" s="20">
        <v>178.5</v>
      </c>
      <c r="C6" s="20">
        <v>222.3</v>
      </c>
      <c r="D6" s="22">
        <v>184.9</v>
      </c>
      <c r="E6" s="29">
        <v>189.4</v>
      </c>
    </row>
    <row r="7" spans="1:5" x14ac:dyDescent="0.25">
      <c r="A7" s="7" t="s">
        <v>8</v>
      </c>
      <c r="B7" s="29">
        <v>89.23</v>
      </c>
      <c r="C7" s="29">
        <v>111</v>
      </c>
      <c r="D7" s="21">
        <v>92.45</v>
      </c>
      <c r="E7" s="20">
        <v>94.27</v>
      </c>
    </row>
    <row r="8" spans="1:5" x14ac:dyDescent="0.25">
      <c r="A8" s="4" t="s">
        <v>9</v>
      </c>
      <c r="B8" s="20">
        <v>80.010000000000005</v>
      </c>
      <c r="C8" s="20">
        <v>99.53</v>
      </c>
      <c r="D8" s="22">
        <v>46.23</v>
      </c>
      <c r="E8" s="29">
        <v>47.82</v>
      </c>
    </row>
    <row r="9" spans="1:5" x14ac:dyDescent="0.25">
      <c r="A9" s="7" t="s">
        <v>10</v>
      </c>
      <c r="B9" s="29">
        <v>80.010000000000005</v>
      </c>
      <c r="C9" s="29">
        <v>99.5</v>
      </c>
      <c r="D9" s="21">
        <v>46.23</v>
      </c>
      <c r="E9" s="20">
        <v>47.83</v>
      </c>
    </row>
    <row r="10" spans="1:5" x14ac:dyDescent="0.25">
      <c r="A10" s="4" t="s">
        <v>11</v>
      </c>
      <c r="B10" s="20">
        <v>11.95</v>
      </c>
      <c r="C10" s="20">
        <v>15.52</v>
      </c>
      <c r="D10" s="22">
        <v>11.55</v>
      </c>
      <c r="E10" s="29">
        <v>11.95</v>
      </c>
    </row>
    <row r="11" spans="1:5" x14ac:dyDescent="0.25">
      <c r="A11" s="7" t="s">
        <v>12</v>
      </c>
      <c r="B11" s="26">
        <v>6817</v>
      </c>
      <c r="C11" s="26">
        <v>8844</v>
      </c>
      <c r="D11" s="48">
        <v>6563</v>
      </c>
      <c r="E11" s="25">
        <v>6788</v>
      </c>
    </row>
    <row r="12" spans="1:5" x14ac:dyDescent="0.25">
      <c r="A12" s="4" t="s">
        <v>13</v>
      </c>
      <c r="B12" s="25">
        <v>1712</v>
      </c>
      <c r="C12" s="25">
        <v>1924</v>
      </c>
      <c r="D12" s="50">
        <v>1566</v>
      </c>
      <c r="E12" s="26">
        <v>1403</v>
      </c>
    </row>
    <row r="13" spans="1:5" x14ac:dyDescent="0.25">
      <c r="A13" s="4" t="s">
        <v>14</v>
      </c>
      <c r="B13" s="28">
        <v>59.26</v>
      </c>
      <c r="C13" s="26">
        <v>64.819999999999993</v>
      </c>
      <c r="D13" s="48">
        <v>49.65</v>
      </c>
      <c r="E13" s="25">
        <v>50.13</v>
      </c>
    </row>
    <row r="14" spans="1:5" x14ac:dyDescent="0.25">
      <c r="A14" s="8" t="s">
        <v>17</v>
      </c>
      <c r="B14" s="28">
        <v>31.92</v>
      </c>
      <c r="C14" s="25">
        <v>33.44</v>
      </c>
      <c r="D14" s="52">
        <v>24.04</v>
      </c>
      <c r="E14" s="28">
        <v>23.05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Kiril</cp:lastModifiedBy>
  <dcterms:created xsi:type="dcterms:W3CDTF">2021-02-25T08:40:44Z</dcterms:created>
  <dcterms:modified xsi:type="dcterms:W3CDTF">2021-03-11T04:05:29Z</dcterms:modified>
</cp:coreProperties>
</file>